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panf\Desktop\"/>
    </mc:Choice>
  </mc:AlternateContent>
  <xr:revisionPtr revIDLastSave="0" documentId="13_ncr:1_{C3D63AC4-D7B2-4EAF-960A-D881BDC400B4}" xr6:coauthVersionLast="47" xr6:coauthVersionMax="47" xr10:uidLastSave="{00000000-0000-0000-0000-000000000000}"/>
  <bookViews>
    <workbookView xWindow="-108" yWindow="-108" windowWidth="23256" windowHeight="12456" activeTab="2" xr2:uid="{44A9A7C8-21B0-478A-AB5A-6C21003A6B27}"/>
  </bookViews>
  <sheets>
    <sheet name="Settings" sheetId="7" r:id="rId1"/>
    <sheet name="New Order" sheetId="17" r:id="rId2"/>
    <sheet name="MainTable" sheetId="3" r:id="rId3"/>
    <sheet name="Customs Clearance" sheetId="16" r:id="rId4"/>
    <sheet name="Stats" sheetId="15" r:id="rId5"/>
    <sheet name="Stats for Customer" sheetId="18" r:id="rId6"/>
    <sheet name="Customers" sheetId="13" r:id="rId7"/>
  </sheets>
  <definedNames>
    <definedName name="Adreno">tb_customers[Name]</definedName>
    <definedName name="Fragmentator_Customer">#N/A</definedName>
    <definedName name="Fragmentator_E_I">#N/A</definedName>
    <definedName name="Fragmentator_LCL_FCL">#N/A</definedName>
    <definedName name="Fragmentator_Status">#N/A</definedName>
    <definedName name="list_of_customers">tb_customers[Name]</definedName>
  </definedNames>
  <calcPr calcId="191029"/>
  <pivotCaches>
    <pivotCache cacheId="4" r:id="rId8"/>
    <pivotCache cacheId="21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" i="3" l="1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L5" i="17"/>
  <c r="L9" i="17" l="1"/>
  <c r="L7" i="17"/>
  <c r="H9" i="17"/>
  <c r="H7" i="17"/>
  <c r="H5" i="17"/>
  <c r="H3" i="17"/>
  <c r="D9" i="17"/>
  <c r="D7" i="17"/>
  <c r="D5" i="17"/>
  <c r="D3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Bartłomiej Panfil</author>
    <author>tc={A0EAD3E7-1732-4477-A006-F66F9AC2145E}</author>
  </authors>
  <commentList>
    <comment ref="P15" authorId="0" shapeId="0" xr:uid="{C7370B69-7199-4A8A-B22B-6DC040D07E6A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Rozformowanie
</t>
        </r>
      </text>
    </comment>
    <comment ref="P19" authorId="0" shapeId="0" xr:uid="{348C5621-8A3B-4B1D-B0CA-4F19189C9226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ETA: 30.12, rozf. 04.01
</t>
        </r>
      </text>
    </comment>
    <comment ref="R19" authorId="0" shapeId="0" xr:uid="{7ECACC87-B4EB-40ED-B1A5-3AF6C9128DE2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ok
</t>
        </r>
      </text>
    </comment>
    <comment ref="R20" authorId="0" shapeId="0" xr:uid="{19D6812B-1E18-418E-8A06-1F7F7534866A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ok</t>
        </r>
      </text>
    </comment>
    <comment ref="P21" authorId="0" shapeId="0" xr:uid="{CD3B4B00-C139-4ECC-AD11-9533D5D0247A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ETA: 29.12
Rozf. 03.01
UPDATE: 
ETA: 04.01, rozf: 11
.01
</t>
        </r>
      </text>
    </comment>
    <comment ref="R21" authorId="0" shapeId="0" xr:uid="{71DA9E79-8441-43D0-9E81-E134408CC548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mam</t>
        </r>
      </text>
    </comment>
    <comment ref="P22" authorId="0" shapeId="0" xr:uid="{C7F7ABC4-0BAE-4518-9AF5-EBA5B035A89E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ETA: 08.01
</t>
        </r>
      </text>
    </comment>
    <comment ref="P23" authorId="0" shapeId="0" xr:uid="{28216E47-1B90-45C6-86FA-1EF01D955788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ETA: 08.01</t>
        </r>
      </text>
    </comment>
    <comment ref="R23" authorId="0" shapeId="0" xr:uid="{85CFEAFD-CD68-4A9E-92EA-7FCDF0DA3830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doki sa</t>
        </r>
      </text>
    </comment>
    <comment ref="P24" authorId="0" shapeId="0" xr:uid="{D2D0847D-4F8D-40A6-95AD-81D93507C300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ETA: 08.01</t>
        </r>
      </text>
    </comment>
    <comment ref="R24" authorId="0" shapeId="0" xr:uid="{247313CD-BD47-48E4-B7F6-42E0A7FED5C4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Doki sa
</t>
        </r>
      </text>
    </comment>
    <comment ref="P25" authorId="0" shapeId="0" xr:uid="{930C191A-00AE-4097-9191-52B9BEB63CAF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ETA: 08.01</t>
        </r>
      </text>
    </comment>
    <comment ref="P26" authorId="0" shapeId="0" xr:uid="{CDECC9B6-193D-4D35-AA0D-2435691E56A2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Rozf 2 week 08-11.01</t>
        </r>
      </text>
    </comment>
    <comment ref="R26" authorId="0" shapeId="0" xr:uid="{3E95B0FF-DB39-4AB2-AB32-39657AF9A3C1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ok
</t>
        </r>
      </text>
    </comment>
    <comment ref="P29" authorId="0" shapeId="0" xr:uid="{36F45155-3E0E-4A71-83DC-77F521AFD0EC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ETA: 19.01
Rozf. 25.01
Storage do:30.01</t>
        </r>
      </text>
    </comment>
    <comment ref="K30" authorId="0" shapeId="0" xr:uid="{4C247CF5-5DF5-42AF-AF41-15D41C03AB74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1,81 i 210,5kg</t>
        </r>
      </text>
    </comment>
    <comment ref="P30" authorId="0" shapeId="0" xr:uid="{5DF4F7CD-7BA0-4D6D-B3EB-9400A0DBAAAD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eta: 03.01
Storage do: 29.01
</t>
        </r>
      </text>
    </comment>
    <comment ref="A32" authorId="0" shapeId="0" xr:uid="{E5C08BB1-A734-45F9-9FA9-45A80BD07929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Teczka uzupelniona</t>
        </r>
      </text>
    </comment>
    <comment ref="A33" authorId="0" shapeId="0" xr:uid="{E54952A5-3241-4816-9680-F9CD62380D43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A34" authorId="0" shapeId="0" xr:uid="{61D94A7D-6BEB-4798-A745-C13B574C48CC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A35" authorId="0" shapeId="0" xr:uid="{677FC9A5-6C75-4B4A-AA70-E3371189FB09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A36" authorId="0" shapeId="0" xr:uid="{B8365465-F836-4D57-ABDA-91D3DB1A05A8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N36" authorId="0" shapeId="0" xr:uid="{C7B1E195-8DD1-4CAD-B856-ACCC4FD02F77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ETD HKG 01.12 - do potwierdzenia
Update: ETD HKG: 17.12, ETA GDN: 22.01
</t>
        </r>
      </text>
    </comment>
    <comment ref="P36" authorId="0" shapeId="0" xr:uid="{BCF5FE0C-5DC2-4A4B-9AFB-563E41774F2D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ETA: 27.01
Rozf. 02.02
STR: 07.02</t>
        </r>
      </text>
    </comment>
    <comment ref="A37" authorId="0" shapeId="0" xr:uid="{85B224AF-D153-4372-A667-B6058B6187AD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
</t>
        </r>
      </text>
    </comment>
    <comment ref="P37" authorId="0" shapeId="0" xr:uid="{6667F501-5BBC-4559-8129-246DFBADCE58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Storage do 11.02</t>
        </r>
      </text>
    </comment>
    <comment ref="W37" authorId="0" shapeId="0" xr:uid="{1A6C458B-2A31-46C7-A4EC-8D67A71EAF7E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Dodatek z 26.01 14:42
</t>
        </r>
      </text>
    </comment>
    <comment ref="A38" authorId="0" shapeId="0" xr:uid="{97897FCE-F87B-445D-B6A9-81F08548F6C5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P38" authorId="0" shapeId="0" xr:uid="{5BBA5EAA-6DEF-4A37-8F80-89674BDA4792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ETA Gdansk 05.02
STR: 11.02</t>
        </r>
      </text>
    </comment>
    <comment ref="A39" authorId="0" shapeId="0" xr:uid="{821D826D-2099-48DE-AB4E-9D2232423A04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A40" authorId="0" shapeId="0" xr:uid="{E8883DB3-58E9-459B-B70C-2305FDA2B690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
</t>
        </r>
      </text>
    </comment>
    <comment ref="A41" authorId="0" shapeId="0" xr:uid="{A28E1542-BAEF-4918-95DF-AD2C6B1E8BC1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P41" authorId="0" shapeId="0" xr:uid="{F041A61D-46FD-408C-B2D2-7A3186107CE8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STORAGE do: 20.02</t>
        </r>
      </text>
    </comment>
    <comment ref="A42" authorId="0" shapeId="0" xr:uid="{669B8FF6-2F94-40C8-9A7E-57D2DE2AE6FE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
</t>
        </r>
      </text>
    </comment>
    <comment ref="K42" authorId="0" shapeId="0" xr:uid="{A9D461C3-4675-41B8-A70F-C1E16A6145F2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1057,5kg 5,87cbm
</t>
        </r>
      </text>
    </comment>
    <comment ref="A43" authorId="0" shapeId="0" xr:uid="{B33D46BA-904E-46FF-B96B-7F192917CEF0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K43" authorId="0" shapeId="0" xr:uid="{E0349849-9283-484F-8A59-D905D47CE352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1050 1,88cbm
</t>
        </r>
      </text>
    </comment>
    <comment ref="A44" authorId="0" shapeId="0" xr:uid="{3C5BADD4-21BA-46C4-946B-DF603D7C4EC4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A45" authorId="0" shapeId="0" xr:uid="{A5AF4C1A-550F-4C4B-9E4A-662288252FAA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A46" authorId="0" shapeId="0" xr:uid="{F4ACC451-429A-4CD5-9C98-5CE8E302A350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uzupełniona</t>
        </r>
      </text>
    </comment>
    <comment ref="D46" authorId="0" shapeId="0" xr:uid="{42D03BC2-1A25-41B5-8ED0-FD2C1056CACA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Hard Rock Cafe Warszawa, Złota 59, 00-120 Warszawa. </t>
        </r>
      </text>
    </comment>
    <comment ref="W46" authorId="1" shapeId="0" xr:uid="{A0EAD3E7-1732-4477-A006-F66F9AC2145E}">
      <text>
        <t xml:space="preserve"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Nowa oferta musi być - DONE
</t>
      </text>
    </comment>
    <comment ref="A47" authorId="0" shapeId="0" xr:uid="{AB7D5CA5-F403-4BE0-9E5C-2CA4788D0745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uzupełniona</t>
        </r>
      </text>
    </comment>
    <comment ref="P47" authorId="0" shapeId="0" xr:uid="{7017483F-06BD-4341-9183-6A6C0C0F305D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Wyładowano 20.02
Storage do: 26.02</t>
        </r>
      </text>
    </comment>
    <comment ref="A48" authorId="0" shapeId="0" xr:uid="{D4AFFE4A-E5EF-4B59-AC35-3BAA4B2F2938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A49" authorId="0" shapeId="0" xr:uid="{DE7BED0D-9811-473A-A72B-ED88906A839B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uzupełniona</t>
        </r>
      </text>
    </comment>
    <comment ref="P50" authorId="0" shapeId="0" xr:uid="{D610A225-F377-47E4-8B58-7F865D4671CF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Storage od 25.02</t>
        </r>
      </text>
    </comment>
    <comment ref="A51" authorId="0" shapeId="0" xr:uid="{FE22120F-3546-4507-87E8-B70C94A57EE3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
</t>
        </r>
      </text>
    </comment>
    <comment ref="K51" authorId="0" shapeId="0" xr:uid="{88936F54-FDA4-4995-9981-5E34C4C7944A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2343, 15,5 cbm</t>
        </r>
      </text>
    </comment>
    <comment ref="P51" authorId="0" shapeId="0" xr:uid="{805DD5BB-C486-41F0-B1B0-9F8BAAF9F9D4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ETA: 19.02</t>
        </r>
      </text>
    </comment>
    <comment ref="A52" authorId="0" shapeId="0" xr:uid="{50223481-77DF-46A8-9EC5-83CBCEAA9247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</t>
        </r>
      </text>
    </comment>
    <comment ref="K52" authorId="0" shapeId="0" xr:uid="{0A57DB09-21C3-47F7-A8D4-B56DAF05BAA0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562 3,28</t>
        </r>
      </text>
    </comment>
    <comment ref="P52" authorId="0" shapeId="0" xr:uid="{8700154C-524A-44F1-B9C1-F4827846B37B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ETA: 19.02</t>
        </r>
      </text>
    </comment>
    <comment ref="A55" authorId="0" shapeId="0" xr:uid="{7277BA19-4496-44D5-8CA9-8A5C7EEB2898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Teczka uzupelniona
</t>
        </r>
      </text>
    </comment>
    <comment ref="K56" authorId="0" shapeId="0" xr:uid="{143D348C-16B7-49B7-8C49-950F5B15F1E5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639,845 3,8 było</t>
        </r>
      </text>
    </comment>
    <comment ref="P56" authorId="0" shapeId="0" xr:uid="{85C07DD5-6AF7-48B6-96E9-5F5D4037D53E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ETA: 29.02
ROZF: 06.03</t>
        </r>
      </text>
    </comment>
    <comment ref="R56" authorId="0" shapeId="0" xr:uid="{B4758C71-73B7-4F0D-B61E-F24CE16E9850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Doki MAMY</t>
        </r>
      </text>
    </comment>
    <comment ref="L57" authorId="0" shapeId="0" xr:uid="{F9804ACA-B185-4CA4-B3B4-3B51CDC5D2CD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Pin: 147414</t>
        </r>
      </text>
    </comment>
    <comment ref="D58" authorId="0" shapeId="0" xr:uid="{F682A30A-0ECB-4C58-9E61-C0C188FD68FA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Telex HBL</t>
        </r>
      </text>
    </comment>
    <comment ref="L58" authorId="0" shapeId="0" xr:uid="{05309B38-6450-4465-8236-D772822AFEFA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Pin: 452008</t>
        </r>
      </text>
    </comment>
    <comment ref="R58" authorId="0" shapeId="0" xr:uid="{DBDE508A-793B-4046-A858-7A102A2D99D1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TAK</t>
        </r>
      </text>
    </comment>
    <comment ref="D59" authorId="0" shapeId="0" xr:uid="{D5A55F65-73FA-4506-B97B-20BEDFCEF19B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Telex</t>
        </r>
      </text>
    </comment>
    <comment ref="L59" authorId="0" shapeId="0" xr:uid="{3063056F-57DE-4E71-95CA-70A7D2C0C9CB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Pin: 461110</t>
        </r>
      </text>
    </comment>
    <comment ref="R59" authorId="0" shapeId="0" xr:uid="{5CC620CB-5B45-496F-BFF9-B9FE73A5207F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TAK</t>
        </r>
      </text>
    </comment>
    <comment ref="D60" authorId="0" shapeId="0" xr:uid="{8C7F00E3-41A2-4AB1-B0A0-348E3D49D6C2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Telex</t>
        </r>
      </text>
    </comment>
    <comment ref="L60" authorId="0" shapeId="0" xr:uid="{FBBF5937-3CA2-4E9E-B43B-B8997BA84C3A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Pin: 139448</t>
        </r>
      </text>
    </comment>
    <comment ref="R60" authorId="0" shapeId="0" xr:uid="{1B5562DD-ED5C-4CF1-AF3E-FB07BD33EB3F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Mamy</t>
        </r>
      </text>
    </comment>
    <comment ref="D61" authorId="0" shapeId="0" xr:uid="{AA9EAE16-7E7A-4690-A8ED-931A3C9557FD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Telex</t>
        </r>
      </text>
    </comment>
    <comment ref="L61" authorId="0" shapeId="0" xr:uid="{BD7E45C9-B019-4DC4-B3EB-EDE763D677BC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MSKU1054814 - 233979
MSKU1476872 - 830750</t>
        </r>
      </text>
    </comment>
    <comment ref="R61" authorId="0" shapeId="0" xr:uid="{38DC88E6-AA53-439C-BAB2-DFF119C24AEA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TAK</t>
        </r>
      </text>
    </comment>
    <comment ref="R62" authorId="0" shapeId="0" xr:uid="{51FFFC3D-61A0-48A6-87FF-7B44135F340D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TAK</t>
        </r>
      </text>
    </comment>
    <comment ref="D63" authorId="0" shapeId="0" xr:uid="{1025716B-0B55-49E1-AC8C-27F89CB10F70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Telex</t>
        </r>
      </text>
    </comment>
    <comment ref="R63" authorId="0" shapeId="0" xr:uid="{FDD59AC2-C363-4539-BFBC-155C0AF94AFE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Doki MAMY
</t>
        </r>
      </text>
    </comment>
    <comment ref="D64" authorId="0" shapeId="0" xr:uid="{3BD921B6-9C11-4B58-B43D-4F491AF0AFC3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Telex </t>
        </r>
      </text>
    </comment>
    <comment ref="L64" authorId="0" shapeId="0" xr:uid="{591B37E7-15DC-49D4-A8B8-F22F984550C8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Pin: 189022</t>
        </r>
      </text>
    </comment>
    <comment ref="R64" authorId="0" shapeId="0" xr:uid="{2901D647-1452-42D4-93BA-739F0AF8E6D4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TAK</t>
        </r>
      </text>
    </comment>
    <comment ref="R65" authorId="0" shapeId="0" xr:uid="{0E3DFD2C-72D5-47A5-A27A-439BD3FB5639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TAK
</t>
        </r>
      </text>
    </comment>
    <comment ref="D66" authorId="0" shapeId="0" xr:uid="{297965B0-BEE3-4DF8-A2AF-F89C4B64F20E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Oryginal HBL</t>
        </r>
      </text>
    </comment>
    <comment ref="L66" authorId="0" shapeId="0" xr:uid="{D09DA328-7C06-47C9-AF3B-B9A4B2BCE018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Pin na mailu</t>
        </r>
      </text>
    </comment>
    <comment ref="D67" authorId="0" shapeId="0" xr:uid="{F8AD644E-CF79-4474-9864-3FCADF060EC0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HBL ORYGINAL
MBL telex</t>
        </r>
      </text>
    </comment>
    <comment ref="L67" authorId="0" shapeId="0" xr:uid="{99C9352D-5B27-4DD2-9CB8-F95F9E18EA99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Pin: ZMGYSSI</t>
        </r>
      </text>
    </comment>
    <comment ref="P68" authorId="0" shapeId="0" xr:uid="{CD71DC51-4DBF-45CA-A79A-92BA65E4B6BC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Było 27.02
</t>
        </r>
      </text>
    </comment>
    <comment ref="L69" authorId="0" shapeId="0" xr:uid="{590C4BA7-BE3A-4DE8-AF98-C8051EFDBB6B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063452</t>
        </r>
      </text>
    </comment>
    <comment ref="K70" authorId="0" shapeId="0" xr:uid="{B3879DD9-4AF9-4276-82FB-613BE8A267D8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3,99
</t>
        </r>
      </text>
    </comment>
    <comment ref="P70" authorId="0" shapeId="0" xr:uid="{C071F975-2384-4061-9CDE-051483897E32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Było 27.02
ETA: 14.03</t>
        </r>
      </text>
    </comment>
    <comment ref="K72" authorId="0" shapeId="0" xr:uid="{C3E0B0E0-6E5F-4760-BDF8-5EE857D91893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Było 16,199
Jest 17,846</t>
        </r>
      </text>
    </comment>
    <comment ref="P72" authorId="0" shapeId="0" xr:uid="{D6F8E607-5634-4D13-8429-8A029E861035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Było 27.02
ETA: 13.03 
Rozf. 18.03</t>
        </r>
      </text>
    </comment>
    <comment ref="R72" authorId="0" shapeId="0" xr:uid="{62C496C9-9875-4D88-B2BF-932A47AFE0F1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Doki OK</t>
        </r>
      </text>
    </comment>
    <comment ref="R73" authorId="0" shapeId="0" xr:uid="{6483FDA5-7469-432F-942C-93911FA2FBE1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OK</t>
        </r>
      </text>
    </comment>
    <comment ref="P74" authorId="0" shapeId="0" xr:uid="{5B3D1D0F-321C-4101-8A65-89BB6A70F8B2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ETA: 22.03
Rozf. 26.03</t>
        </r>
      </text>
    </comment>
    <comment ref="R74" authorId="0" shapeId="0" xr:uid="{F062BFB7-FEF9-4B92-A2DF-CC5628B3AA4F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MAM</t>
        </r>
      </text>
    </comment>
    <comment ref="R75" authorId="0" shapeId="0" xr:uid="{A79D2162-EB43-4EB4-8CAD-BF3B8466E808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OK</t>
        </r>
      </text>
    </comment>
    <comment ref="L76" authorId="0" shapeId="0" xr:uid="{F11245E6-B8ED-4F03-98ED-A1289A06D329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Pin: 418232</t>
        </r>
      </text>
    </comment>
    <comment ref="R76" authorId="0" shapeId="0" xr:uid="{6D46ECFE-CAC0-4AF3-8E4C-033C1AB6C004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OK</t>
        </r>
      </text>
    </comment>
    <comment ref="L77" authorId="0" shapeId="0" xr:uid="{BE1C3E93-64E6-49B6-8EE7-8F68D55D7CC7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Pin: 969757</t>
        </r>
      </text>
    </comment>
    <comment ref="R77" authorId="0" shapeId="0" xr:uid="{51998EC7-2948-4FCD-9AFA-3B0E85CEE046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doki OK</t>
        </r>
      </text>
    </comment>
    <comment ref="D78" authorId="0" shapeId="0" xr:uid="{5723308E-81E9-46AE-9972-CE42A822F23C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ORYGINALY HBL</t>
        </r>
      </text>
    </comment>
    <comment ref="K78" authorId="0" shapeId="0" xr:uid="{96111ADC-B438-4923-992D-55F2C471B924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713,5 3,33</t>
        </r>
      </text>
    </comment>
    <comment ref="P78" authorId="0" shapeId="0" xr:uid="{DBE6C936-C406-4491-A1E6-49AA53B1F791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ETA: 25.03
Rozf. 28.03
</t>
        </r>
      </text>
    </comment>
    <comment ref="D79" authorId="0" shapeId="0" xr:uid="{0C19CB01-B218-43F9-A802-B0824F475B39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Telex HBL</t>
        </r>
      </text>
    </comment>
    <comment ref="R82" authorId="0" shapeId="0" xr:uid="{7B16349B-A422-41F6-B7F5-99BB2F24C36F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Doki OK</t>
        </r>
      </text>
    </comment>
    <comment ref="P83" authorId="0" shapeId="0" xr:uid="{5E1A7D97-0A4E-409C-B4E2-4008FE6AC6B4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ETA: 31.03
Rozf. 04.04</t>
        </r>
      </text>
    </comment>
    <comment ref="P84" authorId="0" shapeId="0" xr:uid="{83050CDD-1CD0-43F2-AAFF-2516DC364209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23.02</t>
        </r>
      </text>
    </comment>
    <comment ref="K85" authorId="0" shapeId="0" xr:uid="{165696CE-7972-4A11-B036-5486C4EE5370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CBM 6 było</t>
        </r>
      </text>
    </comment>
    <comment ref="K86" authorId="0" shapeId="0" xr:uid="{2D4C0D03-14E6-4600-9DB3-DD6F8237B2D2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920 3,413</t>
        </r>
      </text>
    </comment>
    <comment ref="K96" authorId="0" shapeId="0" xr:uid="{88A84835-0C63-44A0-8868-AD8BC7954522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Było 2,58</t>
        </r>
      </text>
    </comment>
    <comment ref="H99" authorId="0" shapeId="0" xr:uid="{33D55B04-D7CC-4712-87F6-74A6A9403070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6</t>
        </r>
      </text>
    </comment>
    <comment ref="K99" authorId="0" shapeId="0" xr:uid="{6D108D9E-C957-4E83-8775-E147EAA72961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6,59</t>
        </r>
      </text>
    </comment>
    <comment ref="K104" authorId="0" shapeId="0" xr:uid="{02ABFAC5-FD73-41A8-B316-830CB91BE943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156 ctn / 2000 kg / 9 cbm</t>
        </r>
      </text>
    </comment>
    <comment ref="K112" authorId="0" shapeId="0" xr:uid="{30B480ED-335E-4DFB-996D-00952B8A7CF2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1 package 280 / 1,5cbm</t>
        </r>
      </text>
    </comment>
    <comment ref="O117" authorId="0" shapeId="0" xr:uid="{12CC2521-29A3-420F-9323-8D4C975B6E5F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Początkowo było Jiangmen</t>
        </r>
      </text>
    </comment>
    <comment ref="K119" authorId="0" shapeId="0" xr:uid="{7F4B19EB-3634-4321-892E-3BE8587220D4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320 / 3,68</t>
        </r>
      </text>
    </comment>
    <comment ref="K125" authorId="0" shapeId="0" xr:uid="{6A84FC39-9464-4A69-9EB5-222F1607BAD9}">
      <text>
        <r>
          <rPr>
            <b/>
            <sz val="9"/>
            <color indexed="81"/>
            <rFont val="Tahoma"/>
            <charset val="1"/>
          </rPr>
          <t>Bartłomiej Panfil:</t>
        </r>
        <r>
          <rPr>
            <sz val="9"/>
            <color indexed="81"/>
            <rFont val="Tahoma"/>
            <charset val="1"/>
          </rPr>
          <t xml:space="preserve">
Było 6194 15,686</t>
        </r>
      </text>
    </comment>
    <comment ref="D149" authorId="0" shapeId="0" xr:uid="{5BB52459-F6F3-45A8-B1D3-0250529B394C}">
      <text>
        <r>
          <rPr>
            <b/>
            <sz val="9"/>
            <color indexed="81"/>
            <rFont val="Tahoma"/>
            <family val="2"/>
            <charset val="238"/>
          </rPr>
          <t>Bartłomiej Panfil:</t>
        </r>
        <r>
          <rPr>
            <sz val="9"/>
            <color indexed="81"/>
            <rFont val="Tahoma"/>
            <family val="2"/>
            <charset val="238"/>
          </rPr>
          <t xml:space="preserve">
We have not booked this yet. We are still waiting for the details from shipper.</t>
        </r>
      </text>
    </comment>
  </commentList>
</comments>
</file>

<file path=xl/sharedStrings.xml><?xml version="1.0" encoding="utf-8"?>
<sst xmlns="http://schemas.openxmlformats.org/spreadsheetml/2006/main" count="3583" uniqueCount="980">
  <si>
    <t>Reference</t>
  </si>
  <si>
    <t>E/I</t>
  </si>
  <si>
    <t>Customer</t>
  </si>
  <si>
    <t>No booking</t>
  </si>
  <si>
    <t>Carrier</t>
  </si>
  <si>
    <t>Incoterms</t>
  </si>
  <si>
    <t>LCL/FCL</t>
  </si>
  <si>
    <t>Amount</t>
  </si>
  <si>
    <t>Type</t>
  </si>
  <si>
    <t>Weight</t>
  </si>
  <si>
    <t>CBM / TEU</t>
  </si>
  <si>
    <t>No Containers</t>
  </si>
  <si>
    <t>ETD</t>
  </si>
  <si>
    <t>POL</t>
  </si>
  <si>
    <t>ETA</t>
  </si>
  <si>
    <t>POD</t>
  </si>
  <si>
    <t>Customs Clearance</t>
  </si>
  <si>
    <t>Shipper</t>
  </si>
  <si>
    <t>Consingee</t>
  </si>
  <si>
    <t>Marks</t>
  </si>
  <si>
    <t>Agent</t>
  </si>
  <si>
    <t>Sell rate</t>
  </si>
  <si>
    <t>Buy rate</t>
  </si>
  <si>
    <t>Insurance</t>
  </si>
  <si>
    <t>Docs</t>
  </si>
  <si>
    <t>Import</t>
  </si>
  <si>
    <t>FCL</t>
  </si>
  <si>
    <t>On board</t>
  </si>
  <si>
    <t>-</t>
  </si>
  <si>
    <t>LCL</t>
  </si>
  <si>
    <t>E / I</t>
  </si>
  <si>
    <t>Status</t>
  </si>
  <si>
    <t>Eksport</t>
  </si>
  <si>
    <t>Ordered</t>
  </si>
  <si>
    <t>Canceled</t>
  </si>
  <si>
    <t>Booked</t>
  </si>
  <si>
    <t>FCL/LCL</t>
  </si>
  <si>
    <t>Delivered</t>
  </si>
  <si>
    <t>Yard</t>
  </si>
  <si>
    <t>MSC</t>
  </si>
  <si>
    <t>FOB</t>
  </si>
  <si>
    <t>40HC</t>
  </si>
  <si>
    <t>Yantian</t>
  </si>
  <si>
    <t>Gdańsk</t>
  </si>
  <si>
    <t>Taksim-pol</t>
  </si>
  <si>
    <t>BRAK</t>
  </si>
  <si>
    <t>Name</t>
  </si>
  <si>
    <t>Data</t>
  </si>
  <si>
    <t>Lak-auto</t>
  </si>
  <si>
    <t>PFC17243/2023/MRY</t>
  </si>
  <si>
    <t>PFC</t>
  </si>
  <si>
    <t>ctn</t>
  </si>
  <si>
    <t>EITU9316842</t>
  </si>
  <si>
    <t>Ningbo</t>
  </si>
  <si>
    <t>PFC17244/2023/MRY</t>
  </si>
  <si>
    <t>EITU0432034</t>
  </si>
  <si>
    <t>PFC16557/2023/MRY</t>
  </si>
  <si>
    <t>PFC17313/2023/MRY</t>
  </si>
  <si>
    <t>PFC18300/2023/MRY</t>
  </si>
  <si>
    <t>OERU4048038</t>
  </si>
  <si>
    <t>package</t>
  </si>
  <si>
    <t>TEMU0145247</t>
  </si>
  <si>
    <t>Shanghai</t>
  </si>
  <si>
    <t>EXW</t>
  </si>
  <si>
    <t xml:space="preserve">[RS1/10]  SZSE23101601 </t>
  </si>
  <si>
    <t>EGHU9496255
TGBU4459457</t>
  </si>
  <si>
    <t>[RS2/10] SZSE23101714</t>
  </si>
  <si>
    <t>TCNU8718026</t>
  </si>
  <si>
    <t>EGHU9357624</t>
  </si>
  <si>
    <t>Porath</t>
  </si>
  <si>
    <t>FCIU8317178</t>
  </si>
  <si>
    <t xml:space="preserve">[RS3/11] SZSE23110213  </t>
  </si>
  <si>
    <t>SEGU5324172</t>
  </si>
  <si>
    <t>Shenzhen</t>
  </si>
  <si>
    <t>Shenzehn</t>
  </si>
  <si>
    <t xml:space="preserve">PFC16136/2023/MRY </t>
  </si>
  <si>
    <t>PFC17260/2023/MRY</t>
  </si>
  <si>
    <t>PFC17643/2023/MRY</t>
  </si>
  <si>
    <t>ECU</t>
  </si>
  <si>
    <t xml:space="preserve">EXW TIANJIN : 930 USD
OFR TIANJIN – GDANSK : 30 USD WM *12,18 CBM = 365,40 USD
THC 20 USD WM* 12,18 CBM = 243,60 USD
DOC 20 USD
ODPRAWA 220 PLN
TRANSPORT GDN &gt; WARSZAWA: 950 PLN
TOTAL: 1559 USD + 1170 PLN </t>
  </si>
  <si>
    <t>cases</t>
  </si>
  <si>
    <t xml:space="preserve">MSKU8392428 </t>
  </si>
  <si>
    <t>PFC16762/2023/MRY</t>
  </si>
  <si>
    <t>plt</t>
  </si>
  <si>
    <t>PFC17905/2023/MRY</t>
  </si>
  <si>
    <t>pkg</t>
  </si>
  <si>
    <t>PFC17906/2023/MRY</t>
  </si>
  <si>
    <t>Guangzhou</t>
  </si>
  <si>
    <t>RO: 95074419</t>
  </si>
  <si>
    <t>Qingdao</t>
  </si>
  <si>
    <t>20DV</t>
  </si>
  <si>
    <t xml:space="preserve">OFR QINGDAO – GDAŃSK 20 DV: 650 USD
THC 205 EUR
DOC 55 EUR
ISPS 25 EUR
ODPRAWA 220 PLN
TRANSPORT 2200 PLN </t>
  </si>
  <si>
    <t>Ref:0156337 TAOGDN01049</t>
  </si>
  <si>
    <t>Tranzyt do Chrzanowa</t>
  </si>
  <si>
    <t xml:space="preserve">O/F: USD750/20GP
THC 200 EUR
DOC 55 EUR
ISPS 25 EUR
T1 180 PLN
TRANSPORT 32-500 CHRZANÓW : 3600 PLN + BAF 4% </t>
  </si>
  <si>
    <t>[RS5/11] SZSE23110914 233212835</t>
  </si>
  <si>
    <t>Huangpu</t>
  </si>
  <si>
    <t xml:space="preserve">[RS3/10] SZSE23102315 </t>
  </si>
  <si>
    <t>CMAU2508947</t>
  </si>
  <si>
    <t>Xingang</t>
  </si>
  <si>
    <t xml:space="preserve">[RS7/11] SZSE23113007 233787844​ </t>
  </si>
  <si>
    <t>Maersk</t>
  </si>
  <si>
    <t xml:space="preserve"> OFR 40 HC XINGANG – GDAŃSK : 1175 USD
THC 205 EUR
DOC 55 EUR
ISPS 25 EUR
TRANSPORT GDN &gt; BYTOM : 3400 PLN + BAF 4 % </t>
  </si>
  <si>
    <t>AC Klienta - Taksim-pol</t>
  </si>
  <si>
    <t>OFR NINGBO – GDANSK 20 DV: 750 USD
THC 205 EUR
DOC 55 EUR
ISPS 25 EUR
TRANSPORT 20 DV KOLEJ : 2900 PLN + BAF na styczeń/luty</t>
  </si>
  <si>
    <t>SUDU7868581</t>
  </si>
  <si>
    <t>TLLU6850815</t>
  </si>
  <si>
    <t>CMA</t>
  </si>
  <si>
    <t>[RS4/11] SZSE23110803 233024935</t>
  </si>
  <si>
    <t>Brisbane</t>
  </si>
  <si>
    <t>ZL087/11/23</t>
  </si>
  <si>
    <t>ZL088/11/23</t>
  </si>
  <si>
    <t>ZL135/11/23</t>
  </si>
  <si>
    <t>RO: 154598 JEAGDN00021</t>
  </si>
  <si>
    <t>OOCU8009730</t>
  </si>
  <si>
    <t>ZL111/10/23</t>
  </si>
  <si>
    <t>ZL124/10/23</t>
  </si>
  <si>
    <t>ZL140/10/23</t>
  </si>
  <si>
    <t>ZL141/10/23</t>
  </si>
  <si>
    <t>RO: 0155429</t>
  </si>
  <si>
    <t>ZL031/11/23</t>
  </si>
  <si>
    <t>ZL089/11/23</t>
  </si>
  <si>
    <t>ZL138/11/23</t>
  </si>
  <si>
    <t>ZL028/11/23</t>
  </si>
  <si>
    <t>ZL150/11/23</t>
  </si>
  <si>
    <t>ZL139/11/23</t>
  </si>
  <si>
    <t>ZL140/11/23</t>
  </si>
  <si>
    <t>ZL125/10/23</t>
  </si>
  <si>
    <t>ZL104/10/23</t>
  </si>
  <si>
    <t>ZL110/10/23</t>
  </si>
  <si>
    <t>ZL036/11/23</t>
  </si>
  <si>
    <t>ZL063/11/23</t>
  </si>
  <si>
    <t>ZL061/11/23</t>
  </si>
  <si>
    <t>ZL137/11/23</t>
  </si>
  <si>
    <t>ZL123/10/23</t>
  </si>
  <si>
    <t>ZL145/10/23</t>
  </si>
  <si>
    <t>ZL136/11/23</t>
  </si>
  <si>
    <t>ZL021/12/23</t>
  </si>
  <si>
    <t>ZL142/10/23</t>
  </si>
  <si>
    <t xml:space="preserve">EXW all in: 370  USD
OFR GUANGHZOU – GDAŃSK 28 USD WM *5,65 CBM = 158,20 USD
THC 20 USD WM *5,65 CBM = 113 USD
DOC 20 USD
ODPRAWA 220 PLN
TRANSPORT GDN &gt; WAW : 750 PLN
TOTAL : 661,20 USD + 970 PLN </t>
  </si>
  <si>
    <t xml:space="preserve">EXW Shenzhen: 390 USD (wliczony koszt odprawy exportowej 45 USD do 5 items) - Jeżeli jest więcej niż 5 kodów to potem kolejne 45 USD za kolejnych 5 kodów.
OF SHZ – GDA: 20 USD W/M*8,271 cbm = 165,90 USD
THC: 15 USD W/M*7,9 cbm = 124,07 USD
BL: 20 USD/BL
Transport GDN&gt;POZNAŃ AUTO z WINDĄ: 985 PLN ( 233 USD )
Transport GDN&gt;POZNAŃ AUTO BEZ WINDY: 850 PLN ( 201 USD )
TOTAL AUTO Z WINDĄ: 932,97 USD
TOTAL AUTO BEZ WINDY : 900,97 USD </t>
  </si>
  <si>
    <t xml:space="preserve"> OFR XINGANG – GDANSK 20 DV: 680 USD
THC 205 EUR
DOC 55 EUR
ISPS 25 EUR
TRANSPORT 2900 PLN </t>
  </si>
  <si>
    <t xml:space="preserve">OFR NINGBO – GDAŃSK : 20 USD WM *10,32 CBM =206,40 USD / NOWAKOWSKI 210
THC =110 USD per przesyłka / to na równi
DOC 40 USD / NOWAKOWSKI 50 USD
ODPRAWA 220 PLN / na równi
TRANSPORT GDN &gt; BYDGOSZCZ : 1100 PLN </t>
  </si>
  <si>
    <t>ZL027/11/23</t>
  </si>
  <si>
    <t>AC Klienta</t>
  </si>
  <si>
    <t>ZL025/11/23</t>
  </si>
  <si>
    <t>ZL034/12/23</t>
  </si>
  <si>
    <t>TUTICORIN</t>
  </si>
  <si>
    <t>ZL035/12/23</t>
  </si>
  <si>
    <t>Gdynia</t>
  </si>
  <si>
    <t>Jebel Ali</t>
  </si>
  <si>
    <t>Keelung</t>
  </si>
  <si>
    <t xml:space="preserve">[RS5/10] SZSE23102522 </t>
  </si>
  <si>
    <t>zl026/11/23</t>
  </si>
  <si>
    <t>ZL105/10/23</t>
  </si>
  <si>
    <t xml:space="preserve">OFR HUANGPU – GDAŃSK 40HC : 1100 USD
THC 205 EUR
DOC 55 EUR
ISPS 25 EUR
TRANSPORT GDN &gt; BYTOM : 3400 PLN + BAF 0 % na dziś </t>
  </si>
  <si>
    <t>EXW hangzhou city: 290 USD + 30 USD dokumenty celne + 33 USD naklejki = 353 USD
 OFR SHANGHAI/NINGBO – GDAŃSK : 30 USD WM *1,447 CBM = 43,41 USD  
THC 25 USD WM *1,447 CBM = 36,18 USD
DOC 20 USD
ODPRAWA 220 PLN
TRANSPORT GDN – BIAŁYSTOK 15-644 ( transport łączony dla obu przesyłek ) : 1200 PLN</t>
  </si>
  <si>
    <t xml:space="preserve">FOB JEBEL ALI – GDAŃSK
OF USD 125 WM * 9,44 CBM = 1180 USD  
Doc USD 20
THC USD 20 USD WM  = 188,40 USD
ODPRAWA 220 PLN
TRANSPORT : 985 PLN
TOTAL : 1388,40 USD + 1205 PLN </t>
  </si>
  <si>
    <t>EXW Shanghai/Ningbo: 320 USD / z wliczonym kosztem 30 USD za brak przygotowanych dokumentów do odprawy.
 OFR SHANGHAI/NINGBO – GDAŃSK : 30 USD WM *2,59 CBM = 77,70 USD
THC 25 USD WM *2,59CBM = 64,75 USD
DOC 20 USD
ODPRAWA 220 PLN</t>
  </si>
  <si>
    <t xml:space="preserve">EXW via Yangjiang CFS: 350 USD
OF Yangjiang – Gdansk : 100 USD per shipment
THC 20 USD WM*1,81 CBM = 36,20 USD
DOC 20 USD
ODPRAWA 220 PLN
TRANSPORT GDN &gt;WAW : 475 PLN 
TOTAL :    506,20 USD  + 695 PLN </t>
  </si>
  <si>
    <t xml:space="preserve">OFR XINGANG – GDANSK 20 DV: 680 USD
THC 205 EUR
DOC 55 EUR
ISPS 25 EUR
TRANSPORT 2900 PLN </t>
  </si>
  <si>
    <t xml:space="preserve">FOB BRISBANE via HONG KONG to GDAŃSK : 160 USD WM * 9,163CBM = 1466,08 USD
NON STACK : 536 USD
THC 20 USD WM *9,163 CBM = 183,26 USD
DOC 20 USD
ODPRAWA 220 PLN
TRANSPORT AUTO Z WINDĄ : 1600 PLN
TOTAL: 2205,34 USD + 1820 PLN </t>
  </si>
  <si>
    <t xml:space="preserve">FOB JEBEL ALI –HAMBURG- GDAŃSK
OF USD 130 WM * 12,11 CBM = 1574,30 USD
THC USD 20 USD WM *12,11  = 242,20 USD
DOC USD 20
ODPRAWA 220 PLN
TRANSPORT : 1300 PLN  
TOTAL : 1836,50 USD + 1520 PLN </t>
  </si>
  <si>
    <t>OF: 42 usd w/m * 1,88 cbm = 78,96 USD
THC: 20 usd w/m * 1,88 cbm = 37,60 USD
Doc: 20 usd/bl
Odprawa 220 PLN + 20 PLN za każdy kolejny kod celny
Transport GDN&gt;BYDGOSZCZ : 1350 PLN /// OBA TRANSPORTY</t>
  </si>
  <si>
    <t>OF: 42 usd w/m * 5,5 cbm = 231 USD
THC: 20 usd w/m * 5,5 cbm = 104 USD
Doc: 20 usd/bl
Odprawa 220 PLN + 20 PLN za każdy kolejny kod celny
Transport GDN&gt;BYDGOSZCZ : 1350 PLN /// OBA TRANSPORTY</t>
  </si>
  <si>
    <t>OFR SHANGHAI - GDAŃSK : 20 USD WM *5,9CBM = 118 USD 
THC 15 USD WM*5,9 CBM = 88,50 USD 
DOC 20 USD TRANSPORT GDN &gt; POZNAŃ 
AUTO Z WINDĄ: 195 USD
TOTAL AUTO Z WINDĄ ; 421 USD</t>
  </si>
  <si>
    <t>EXW via Shenzhen CFS: 360 USD  / 290 USD
+ OF SHZ: 25 USD * 5,87 CBM = 146,75 USD / 22 USD 
THC 15 USD * 5,87 CBM = 88,05 USD / 15 USD
DOC 20 USD / 
Transport GDN &gt; Poznań auto z windą : 234 USD ( 930 PLN)
TOTAL : 848,80 USD</t>
  </si>
  <si>
    <t>ZL041/12/23</t>
  </si>
  <si>
    <t>FOB MUMBAI/NHAVA SHEVA – GDANSK: 39 USD WM* 3,99CBM = 150 USD  / 25 USD
THC 20 USD WM*3,99 CBM = 79,80 USD / 15 USD
DOC 20 USD / 18 USD
TRANSPORT GDN &gt; BYTOM: 1100 PLN / 1000 PLN</t>
  </si>
  <si>
    <t>ZL043/12/23</t>
  </si>
  <si>
    <t>HASU1437748</t>
  </si>
  <si>
    <t>ZL050/12/23</t>
  </si>
  <si>
    <t>CAIU4618241</t>
  </si>
  <si>
    <t>ATC Cargo</t>
  </si>
  <si>
    <t>23QDBEST178 37917/2023/IMP/MPO01</t>
  </si>
  <si>
    <t>TCLU5874774</t>
  </si>
  <si>
    <t>TAK</t>
  </si>
  <si>
    <t>OFR QINGDAO - GDAŃSK :  26 USD WM * 7,62 CBM= 198,12 USD 
THC 20 USD WM * 7,62 CBM = 152,40 USD 
DOC 20 USD 
ODPRAWA 220 PLN 
TRANSPORT GDB &gt; OSIELSKO : 1200 PLN
Ubezpieczenie: formie ubezpieczenie CARGO: 0,2 % /w oparciu o I.C.C. (A); min. 25 USD
TOTAL: 370,52 USD + 1420 PLN</t>
  </si>
  <si>
    <t>PFC16551/2023/MRY</t>
  </si>
  <si>
    <t>TGHU3710153</t>
  </si>
  <si>
    <t xml:space="preserve">OFR NINGBO - GDANSK : 20USD* 5,1CBM= 102 USD 
THC 20 USD WM* 5,1 CBM = 102 USD 
DOC 20 USD 
ODPRAWA 220 PLN 
TRANSPORT GDN &gt; OSIELSKO : 1100 PLN 
TOTAL : 224 USD + 1320 PLN </t>
  </si>
  <si>
    <t>ZL060/12/23</t>
  </si>
  <si>
    <t>ZL059/12/23</t>
  </si>
  <si>
    <t>0156436 JEAGDN00022</t>
  </si>
  <si>
    <t>TGBU9719562</t>
  </si>
  <si>
    <t>[RS1/12] / SZSE23120403 233041710</t>
  </si>
  <si>
    <t>TTNU1297268</t>
  </si>
  <si>
    <t>MRKU5299747</t>
  </si>
  <si>
    <t xml:space="preserve">Jinhaoda </t>
  </si>
  <si>
    <t>Welspring</t>
  </si>
  <si>
    <t>MRKU7014000</t>
  </si>
  <si>
    <t>[RS6/10] SZSE23103115 TJN0279479</t>
  </si>
  <si>
    <t>QINGDAO EVER-LEADING TOOLS CO., LTD.</t>
  </si>
  <si>
    <t>ZL065/12/23</t>
  </si>
  <si>
    <t>Warszawa</t>
  </si>
  <si>
    <t xml:space="preserve">OF + THC Nansha/Guanhzhou: 48 USD WM * 15,69 CBM = 753,12 USD +  podwyżka 4 USD WM*15,69CBM = 62,76 USD
DOC: 20 USD/BL
Odprawa: 220 PLN
TRANSPORT GDN &gt; TARNÓW : 2200 PLN </t>
  </si>
  <si>
    <t>ZL079/12/23</t>
  </si>
  <si>
    <t xml:space="preserve">AC Klienta - DTA </t>
  </si>
  <si>
    <t>PFC18287/2023/MRY</t>
  </si>
  <si>
    <t>ZL094/11/23</t>
  </si>
  <si>
    <t>ZT 071/2023 [RS/1/12] SZSE23120513 233599740</t>
  </si>
  <si>
    <t>FCIU5979015</t>
  </si>
  <si>
    <t xml:space="preserve">[RS6/11] SZSE23111402  233543163  </t>
  </si>
  <si>
    <t>Nhava Sheva</t>
  </si>
  <si>
    <t>SZLU9823450</t>
  </si>
  <si>
    <t>ZL106/12/23</t>
  </si>
  <si>
    <t>RO: 0161467 NAV/GDY/04702</t>
  </si>
  <si>
    <t>TGHU6401651</t>
  </si>
  <si>
    <t>RO: 0161214 TUT/GDY/04694</t>
  </si>
  <si>
    <t xml:space="preserve">[RS2/12] SZSE23121214 233881117 </t>
  </si>
  <si>
    <t>Nansha</t>
  </si>
  <si>
    <t>BOSJOB COMPANY LTD.</t>
  </si>
  <si>
    <t>Jiangmen</t>
  </si>
  <si>
    <t>Evergreen</t>
  </si>
  <si>
    <t>IALU2244380</t>
  </si>
  <si>
    <t>AC Klienta - HLS</t>
  </si>
  <si>
    <t>ZL114/12/23</t>
  </si>
  <si>
    <t>ZL113/12/23</t>
  </si>
  <si>
    <t>PFC19781/2023/MRY</t>
  </si>
  <si>
    <t xml:space="preserve">RO: 0155420 KEL/GDN/2311117 </t>
  </si>
  <si>
    <t>Tianjin</t>
  </si>
  <si>
    <t>PFC19689/2023/MRY</t>
  </si>
  <si>
    <t>EXW WUQING  : 2760 USD/ per container 
O/F: USD4975/40HQ via EMC
THC 275 EUR/ per container
DOC 55 EUR/ per container
ISPS 25 EUR/ per container
ODPRAWA 175 EUR / per zgłoszenie 
TRANSPORT GDN &gt; RUMIA : 1400 PLN + BAF 3 % na dziś / per container</t>
  </si>
  <si>
    <t>HASU5000680</t>
  </si>
  <si>
    <t>O/F: USD5160/40HQ via CMA / 4660 USD
THC 205 EUR per container 
DOC 55 EUR per container
ISPS 25 EUR per container 
TRANSPORT GDN &gt; BYTOM 40HC : 3400 PLN + BAF 3 % per container</t>
  </si>
  <si>
    <t xml:space="preserve">OFR QINGDAO – GDAŃSK 40HC : 2780 USD / 1370
THC 205 EUR
DOC 55 EUR
ISPS 25 EUR
TRANPORT 3400 PLN + BAF 3 % </t>
  </si>
  <si>
    <t>THC 205 EUR per container
OFR NINGBO - GDANSK - 2780 USD / 1780 USD
DOC 55 EUR per container
ISPS 25 EUR per container
TRANSPORT GDN &gt; BYTOM 40HC : 3400 PLN + BAF 3 % per container</t>
  </si>
  <si>
    <t xml:space="preserve">OFR JIANGMEN – GDAŃSK : 145 USD WM *14,39 CBM = 2086,55 USD 
THC 20 USD WM*14,39 CBM = 287,80 USD
DOC 20 USD 
TRANSPORT GDN&gt; BYTOM : 1650 PLN
TOTAL: 2394,35 USD + 1650 PLN
TOTAL: 1041,69 USD + 1650 PLN  </t>
  </si>
  <si>
    <t>EXW Guangzhou: 295 USD
OFR GUANGHZOU - GDAŃSK : 145 USD WM *3,28 CBM = 475,60 USD  
THC 15 USD WM *3,28 CBM = 49,2 USD 
DOC 20 USD 
TRANSPORT GDN &gt; POZNAŃ auto z windą 158 USD</t>
  </si>
  <si>
    <t xml:space="preserve">OFR SHANGHAI – GDAŃSK : 145 USD WM *1,75 CBM = 253,75 USD   
THC 20 USD WM * 1,75 CBM = 35 USD 
DOC 25 USD 
ODPRAWA 220 PLN 
TRANSPORT 450 PLN TRANSPORT 450 PLN </t>
  </si>
  <si>
    <t xml:space="preserve">OFR GUANGHZOU - GDAŃSK: 145 USD WM * 6 CBM = 870 USD  
THC 20 USD WM * 6 CBM = 120 USD 
DOC 20 USD
ODPRAWA 220 PLN + 20 PLN za każdy kolejny HS CODE
TRANSPORT GDN &gt; BYDGOSZCZ : 1200 PLN
TOTAL : 1010 USD + 1420 PLN </t>
  </si>
  <si>
    <t>MSKU7799445</t>
  </si>
  <si>
    <t>T1</t>
  </si>
  <si>
    <t>TRHU3207367</t>
  </si>
  <si>
    <t xml:space="preserve">OFR QINGDAO + THC : 28 USD WM * 5,94 CBM  / 24 USD 
DOC 20 USD
ODPRAWA 220 PLN
TRANSPORT GDN &gt; PLOCK : 1250 PLN
TOTAL : 198,20 USD + 1470 PLN </t>
  </si>
  <si>
    <t>BMOU5514508</t>
  </si>
  <si>
    <t>ZL015/01/24</t>
  </si>
  <si>
    <t>TLLU7701170</t>
  </si>
  <si>
    <t>TCKU7812460</t>
  </si>
  <si>
    <t>COSCO</t>
  </si>
  <si>
    <t>[RS2/11] SZSE23110204</t>
  </si>
  <si>
    <t xml:space="preserve">[RS4/12] SZSE23122204 COSU6372450820 </t>
  </si>
  <si>
    <t>HEBEI DAPU MACHINERY CO., LTD</t>
  </si>
  <si>
    <t>ZL018/01/24</t>
  </si>
  <si>
    <t>ZL019/01/24</t>
  </si>
  <si>
    <t xml:space="preserve">OFR XINGANG -GDANSK: 95 USD WM *6,98 = 663,10 USD
THC 20 USD WM *6,98 = 139,600 USD 
DOC 20 USD 
ODPRAWA 220 PLN
TRANSPORT GDN &gt; PŁOCK : 1500 PLN 
TOTAL: 822,70 USD + 1720 PLN </t>
  </si>
  <si>
    <t xml:space="preserve">OFR 80 USD WM
THC 18 USD WM
DOC 20 USD </t>
  </si>
  <si>
    <t>RO: 0165324</t>
  </si>
  <si>
    <t>ZL021/01/24</t>
  </si>
  <si>
    <t xml:space="preserve">O/F: USD3200/20GP via COSCO / 3000 USD
THC 255 EUR
DOC 55 EUR
ISPS 25 EUR
ODPRAWA 250 PLN 
TRANSPRORT GDN &gt; TORUŃ 20DV do 10 ton: 1800 PLN </t>
  </si>
  <si>
    <t>O/F: USD750/20GP
THC 200 EUR
DOC 55 EUR
ISPS 25 EUR
T1 180 PLN
TRANSPORT 32-500 CHRZANÓW : 3600 PLN + BAF 4% 
Insurance - 211,52 PLN</t>
  </si>
  <si>
    <t>PLATINUM PROPERTY SP. Z O. O. ESTATE SERWIS SP.K. 
ALEJA NIEPODLEGŁOŚCI 606/610 81-855 SOPOT,
POLSKA
VAT: PL5851477288</t>
  </si>
  <si>
    <t>IGS</t>
  </si>
  <si>
    <t xml:space="preserve">SMLCD24011115 </t>
  </si>
  <si>
    <t>EXW Shenzhen: 315 USD
OF: 93 USD W/M
THC: 10 USD W/M
DOC: 20 USD/BL
DSK: 7 USD</t>
  </si>
  <si>
    <t>&gt; EXW Shenzhen: 315 USD
&gt; OF: 98 USD W/M *9,299 cbm = 911.30 USD
&gt; THC: 15 USD W/M*9,299 cbm = 139,48 USD
&gt; DOC: 20 USD/BL
&gt; Transport GDN &gt; POZNAŃ auto z windą : 275 USD
&gt;
&gt; TOTAL auto z windą: 1660,78 USD</t>
  </si>
  <si>
    <t>ZL020/01/24</t>
  </si>
  <si>
    <t>OFR 5000 USD
THC 515 EUR
DROGOWKA 3100 PLN</t>
  </si>
  <si>
    <t>ZL022/01/24</t>
  </si>
  <si>
    <t>ZL029/01/24</t>
  </si>
  <si>
    <t>PFC00236/2024/MRY FA2136</t>
  </si>
  <si>
    <t>TXGU5620548</t>
  </si>
  <si>
    <t>PFC00243/2024/MRY</t>
  </si>
  <si>
    <t>O/F: USD5300/40HQ via COSCO
THC 205 EUR
DOC 55 EUR
ISPS 25 EUR
TRANSPORT GDN &gt; BYTOM 40HC : 3400 PLN + BAF 3 % per container</t>
  </si>
  <si>
    <t>CMAU5877091
GESU6683130</t>
  </si>
  <si>
    <t>[RS2/1] SZSE24010401 NGP0786362/NGP0786381</t>
  </si>
  <si>
    <t xml:space="preserve">[RS5/1] SZSE24010514 235009436 </t>
  </si>
  <si>
    <t>[RS6/12] SZSE23122010  NGP0712496</t>
  </si>
  <si>
    <t>3000 USD</t>
  </si>
  <si>
    <t xml:space="preserve">[RS1/1] SZSE24010307 235094114 </t>
  </si>
  <si>
    <t>PFC00330/2024/MRY</t>
  </si>
  <si>
    <t>OF: 86 USD W/M
THC: 10 USD W/M
DOC: 20 USD
DSK: 7 USD</t>
  </si>
  <si>
    <t>EXW GZH: 260 USD
OF GZH: 112 USD W/M
THC: 15 USD/LS
DOC: 0
DSK: 7 USD/DOC</t>
  </si>
  <si>
    <t>EXW GZH: 280 USD
OF GZH: 115 USD W/M * 1,70 USD = 195,50 USD
THC: 25 USD per shpt
DOC: 20 USD/BL
TRANSPORT auto z windą POZNAŃ: 120 USD  
TOTAL: 640,50USD dla neutral stackable cargo</t>
  </si>
  <si>
    <t xml:space="preserve">AC Klienta </t>
  </si>
  <si>
    <t>OFR SHENZHEN – GDAŃSK 20DV : 3050 USD per cntr
THC 205 EUR per cntr
DOC 55 EUR per cntr
ISPS 25 EUR per cntr
TRANSPORT GDN &gt; RZESZÓW : 3350 PLN per cntr</t>
  </si>
  <si>
    <t>MNBU3710611</t>
  </si>
  <si>
    <r>
      <t>USD2975/20GP</t>
    </r>
    <r>
      <rPr>
        <sz val="11"/>
        <color theme="1"/>
        <rFont val="Calibri"/>
        <family val="2"/>
        <charset val="238"/>
        <scheme val="minor"/>
      </rPr>
      <t xml:space="preserve"> </t>
    </r>
  </si>
  <si>
    <t>O/F: USD4100/20GP via MSK -</t>
  </si>
  <si>
    <t>ZL044/01/24</t>
  </si>
  <si>
    <t>3100 USD</t>
  </si>
  <si>
    <t xml:space="preserve">Ningbo </t>
  </si>
  <si>
    <t>ZL048/01/24</t>
  </si>
  <si>
    <t>ZL049/01/24</t>
  </si>
  <si>
    <t xml:space="preserve">[RS3/1] SZSE24010404 235248037  </t>
  </si>
  <si>
    <t>CSNU1617281</t>
  </si>
  <si>
    <t>RO: 0160978 MEL/GDN/0065763 BNE/GDN/00086</t>
  </si>
  <si>
    <t>Agencja Klienta - DTA</t>
  </si>
  <si>
    <t>Agencja Klienta</t>
  </si>
  <si>
    <t>PFC00373/2024/MRY N20231201DX8336</t>
  </si>
  <si>
    <t xml:space="preserve">EXW: 550 USD
OFR KEELUNG – GDAŃSK : 53 USD WM * 6,52 CBM = 345,56 USD
THC 20 USD WM *6,52 CBM = 130,40 USD
DOC 20 USD
ODPRAWA 220 PLN
TRANSPORT GDN &gt; WARSZAWA: 1150 PLN
TOTAL: 1045,96 USD + 1370 PLN </t>
  </si>
  <si>
    <t xml:space="preserve">O/F: USD3300/20GP via CMA
THC 200 EUR
DOC 55 EUR
ISPS 25 EUR
T1 180 PLN
TRANSPORT 32-500 CHRZANÓW : 3600 PLN + BAF 4% </t>
  </si>
  <si>
    <t>4700 USD</t>
  </si>
  <si>
    <t xml:space="preserve">THC 255 EUR
USD4900/40HQ via MSK
DOC 55 EUR
ISPS 25 EUR
ODPRAWA 250 PLN
TRANSPORT GDN &gt; TORUŃ 40HC : 1900 PLN </t>
  </si>
  <si>
    <t xml:space="preserve">O/F: USD5150/40HQ </t>
  </si>
  <si>
    <t>4950 USD</t>
  </si>
  <si>
    <t>[RS1/11] SZSE23110101 BYCK230982  233013341</t>
  </si>
  <si>
    <t>B2B MK sp. z o.o.
ul. Grunwaldzka 14
82-500 Kwidzyn
NIP 5811970114</t>
  </si>
  <si>
    <t xml:space="preserve">OFR QINGDAO – GDAŃSK : 97 USD WM * 4,86 = 471, 42 USD 
THC 20 USD WM * 4,86 = 97,20 USD 
DOC 20 USD 
ODPRAWA 220 PLN
TRANSPORT GDN &gt; OSIELSKO : 1100 PLN 
TOTAL: 588, 62 USD </t>
  </si>
  <si>
    <t>EXW: 800 USD</t>
  </si>
  <si>
    <t>ZL036/12/23</t>
  </si>
  <si>
    <t>ZL116/12/23</t>
  </si>
  <si>
    <t>[RS5/12] SZSE23122605 010301253062</t>
  </si>
  <si>
    <t>ZL147/10/23</t>
  </si>
  <si>
    <t>EXW Cost: USD975/40HQ
O/F: USD5175/40HQ via EMC</t>
  </si>
  <si>
    <t>EITU1332214</t>
  </si>
  <si>
    <t>[RS4/1] SZSE24010801 / 235079545</t>
  </si>
  <si>
    <t>MRSU0515126</t>
  </si>
  <si>
    <t>TCNU7392568</t>
  </si>
  <si>
    <t>MRKU8154644</t>
  </si>
  <si>
    <t>[RS6/1] SZSE240108112 234528975</t>
  </si>
  <si>
    <t>4850 USD</t>
  </si>
  <si>
    <t>5100 USD</t>
  </si>
  <si>
    <t>O/F: USD4900/40HQ via MSK</t>
  </si>
  <si>
    <t>O/F: USD5100/40HQ via MSK
ETD: 16th.Jan with SI cut off date 12th.Jan
THC 205 EUR
DOC 55 EUR
ISPS 25 EUR
ODPRAWA : PRZEZ PANA AGENCJA 
TRANSPORT GDAŃSK &gt; GDYNIA : 1100 PLN</t>
  </si>
  <si>
    <t>ZL078/01/24</t>
  </si>
  <si>
    <t xml:space="preserve">OFR SHANGHAI – GDAŃSK : 97 USD WM*16,199CBM = 1571,40 USD 
THC GDAŃSK : 20 USD WM *16,199CBM= 324 USD 
DOC 20 USD
ODPRAWA 220 PLN
TRANSPORT GDN &gt; OSIELSKO : 1400 PLN 
TOTAL: 1915,40 USD + 1620 PLN </t>
  </si>
  <si>
    <t>ZL079/01/24</t>
  </si>
  <si>
    <t>95 USD WM</t>
  </si>
  <si>
    <t xml:space="preserve">EXW SHZ: 280 USD
OFR SHENZHEN - GDAŃSK: 98 USD WM * 3,33CBM = 326,34 USD 
THC GDAŃSK 15 USD WM* 3,33 CBM = 49,95 USD 
DOC 20 USD 
TRANSPORT GDN &gt; POZNAŃ: 172 USD 
TOTAL: 848,29 USD </t>
  </si>
  <si>
    <t>EXW SHZ: 260 USD
97 USD WM</t>
  </si>
  <si>
    <t>ZL083/01/24</t>
  </si>
  <si>
    <t xml:space="preserve">[RS9/1]  273685482 </t>
  </si>
  <si>
    <t>Koszty CN (fracht, handling, odprawa, dowóz,profit dla agenta) * = 1560 USD, fracht jest na linii LH (Lufthansa), tt przelotu 3-5 dni, routing PVG(Shanghai)-FRA-WAW
*Other charge such magnet inspection/commodity inspection/buy export paper: case by case
Lokalne w PL:
Odprawa ostateczna w naszej AC 250 PLN
Handling 300 PLN 
Auto do Kwidzynia 530 PLN</t>
  </si>
  <si>
    <t>ZL084/01/24</t>
  </si>
  <si>
    <t>OFR QINGDAO – GDAŃSK  40HC : 5150 USD 
THC 205 EUR
DOC 55 EUR
ISPS 25 EUR
TRANSPORT GDN &gt; BYTOM : 3400 PLN + BAF 0%</t>
  </si>
  <si>
    <t>5000 USD</t>
  </si>
  <si>
    <t>ZL091/01/24</t>
  </si>
  <si>
    <t>ZL093/01/24</t>
  </si>
  <si>
    <t>ZL093/11/23</t>
  </si>
  <si>
    <t>OF USD 125 w/m
ETS USD 3 w/m
CAC Usd 20 w/m
THC USD 12 w/m
DOC USD 20/bl</t>
  </si>
  <si>
    <t>Lotnik PFC00967</t>
  </si>
  <si>
    <t>[RS8/1] SZSE24010918 234491894</t>
  </si>
  <si>
    <t>PFC00925/2024/MRY</t>
  </si>
  <si>
    <t>Email</t>
  </si>
  <si>
    <t>roneberg88@gmail.com
klepuszewski.marcin@gmail.com</t>
  </si>
  <si>
    <t>EXW Shenzhen: 320 USD all in
OF: 97 USD W/M
THC: 10 USD W/M
DOC: 20 USD/BL
DSK: 7 USD</t>
  </si>
  <si>
    <t>ZL097/01/24</t>
  </si>
  <si>
    <t>EXW Shenzhen: 395 USD all in
OF: 110 USD W/M*4,68 cbm = 514,80 USD
&gt; THC: 20 USD W/M*4,68 cbm = 93,60 USD
&gt; DOC: 20 USD/BL
&gt; ODPRAWA 220 PLN
&gt; TRANSPORT GDN  &gt; RUSOCIN : 600 PLN</t>
  </si>
  <si>
    <t>MRSU0412529</t>
  </si>
  <si>
    <t>AC z Rzeszowa</t>
  </si>
  <si>
    <t xml:space="preserve">O/F: USD3050/20GP via MSK
THC 205 EUR per cntr
DOC 55 EUR per cntr
ISPS 25 EUR per cntr
TRANSPORT GDN &gt; RZESZÓW : 3450 PLN per cntr ( kolej jest ważna do 31.03.2024) </t>
  </si>
  <si>
    <t xml:space="preserve">O/F: USD2950/20GP via MSK
THC 205 EUR per cntr
DOC 55 EUR per cntr
ISPS 25 EUR per cntr
TRANSPORT GDN &gt; RZESZÓW : 3450 PLN per cntr ( kolej jest ważna do 31.03.2024) </t>
  </si>
  <si>
    <t>ZL108/01/24</t>
  </si>
  <si>
    <t>FOB BRISBANE via HKG to GDANSK : 207 USD WM
THC 20 USD WM 
DOC 20 USD
ODPRAWA 220 PLN TRANSPORT GDN &gt; BILCZA - auto z windą: 475 PLN</t>
  </si>
  <si>
    <t xml:space="preserve">FOB BRISBANE via HONG KONG to GDAŃSK : 207 USD WM * 13,62CBM = 2819,34 USD  
NON STACK : 500 USD  
THC 20 USD WM *13,62 CBM = 272,40USD
DOC 20 USD 
ODPRAWA 220 PLN
TRANSPORT AUTO Z WINDĄ : 2300 PLN – AUTO Z WINDĄ </t>
  </si>
  <si>
    <t>[RS19/1] SZSE24011801 NGP0879654</t>
  </si>
  <si>
    <t>MRSU4275044</t>
  </si>
  <si>
    <t>PFC01134</t>
  </si>
  <si>
    <t>OF: 93 USD W/M
THC: 10 USD W/M
DOC: 20 USD
DSK: 7 USD</t>
  </si>
  <si>
    <t xml:space="preserve">OFR SHANGHAI – GDANSK : 95 USD WM * 4,1 CBM = 389,50 USD 
THC GDANSK 20 USD WM *4,1 CBM =  82 USD 
DOC 20 USD 
ODPRAWA 220 PLN 
TRANSPORT GDN &gt;PŁOCK: 1300 PLN </t>
  </si>
  <si>
    <t>ZL112/01/24</t>
  </si>
  <si>
    <t>O/F: USD5100/40HQ via MSK
THC 205 EUR
DOC 55 EUR
ISPS 25 EUR
ODPRAWA : PRZEZ PANA AGENCJA
TRANSPORT GDAŃSK &gt; GDYNIA : 1100 PLN</t>
  </si>
  <si>
    <t>TCLU1718428</t>
  </si>
  <si>
    <t xml:space="preserve">[RS17/1] SZSE24011709 235550915 </t>
  </si>
  <si>
    <t>O/F: USD4800/40HQ via MSK</t>
  </si>
  <si>
    <t>O/F: USD5050/40HQ via MSK
ETD: 6th.Feb with SI cut off date 2nd.Feb
THC 205 EUR
DOC 55 EUR
ISPS 25 EUR
TRANSPORT GDN &gt; BYTOM 40HC : 3400 PLN + BAF 3 % per container</t>
  </si>
  <si>
    <t>ZL122/01/24</t>
  </si>
  <si>
    <t>O/F: USD5000/40HQ via MSK
ETD: 6th.Feb with SI cut off date 2nd.Feb
THC 205 EUR
DOC 55 EUR
ISPS 25 EUR
TRANSPORT GDN &gt; BYTOM 40HC : 3400 PLN + BAF 3 % per container</t>
  </si>
  <si>
    <t>ZL124/01/24</t>
  </si>
  <si>
    <t xml:space="preserve">EXW: USD1025/40HQ
O/F: USD900/40HQ via MSK
THC 205 EUR
DOC 55 EUR
ISPS 25 EUR
ODPRAWA 220 PLN
Przeładunek ( zawiera podjęcie i zwrot kontenera) 1975 PLN 
Transport GDN : 55-040 KOBIERZYCE : 1800 PLN </t>
  </si>
  <si>
    <t xml:space="preserve">1780 USD </t>
  </si>
  <si>
    <t>MRSU0625885
MRSU0622952</t>
  </si>
  <si>
    <t>[RS18/1] SZSE24011715 010400059078</t>
  </si>
  <si>
    <t>MRSU3736368</t>
  </si>
  <si>
    <t>FOB Shanghai to Gdansk
O/F: USD5050/40HQ via EMC
THC 205 EUR per container
DOC 55 EUR per container
ISPS 25 EUR per container
ODPRAWA 220 PLN
TRANSPORT GDN &gt; WASILKÓW DO 24 TON (wagi towaru) 16-010 : 3300 PLN + BAF ( na razie 0 %) per container</t>
  </si>
  <si>
    <t>O/F: USD2800/20GP via MSK</t>
  </si>
  <si>
    <t>ZL137/01/24</t>
  </si>
  <si>
    <t>O/F: USD4830/40HQ via MSK</t>
  </si>
  <si>
    <t>[RS7/1] SZSE24010906 234529066  IMP_SK_01_2024 SZSE24010906</t>
  </si>
  <si>
    <t xml:space="preserve">OFR NINGBO – GDAŃSK : 97 USD WM * 5,9CBM = 572,30 USD 
THC 20 USD WM * 5,9 CBM = 118 USD 
DOC 25 USD 
TRANSPORT GDN &gt; KRAKÓW : 1900 PLN 
TOTAL :  715,30 USD + 1900 PLN </t>
  </si>
  <si>
    <t xml:space="preserve">90 USD WM </t>
  </si>
  <si>
    <t xml:space="preserve">PFC01379 LCL 7 palet - FOB NINGNO PM240122 </t>
  </si>
  <si>
    <t>PFC01377 6 plt 4051kg K&amp;G MACHINERY KG4231130</t>
  </si>
  <si>
    <t xml:space="preserve">[RS20/1] SZSE24012205 235663263 </t>
  </si>
  <si>
    <t>4800 USD</t>
  </si>
  <si>
    <t>[RS24/1] SZSE24012314 010400105282</t>
  </si>
  <si>
    <t>ZL141/01/24</t>
  </si>
  <si>
    <t>OFR SHANGHAI – GDAŃSK 90 USD WM * 6,59 CBM = 539,10 USD 
THC 20 USD WM * 6,59 CBM = 131.80 USD
DOC 25 USD
TRANSPORT GDN &gt; KRAKÓW : 1750 PLN
TOTAL: 749,90 USD + 1750 PLN</t>
  </si>
  <si>
    <t>ZL143/01/24</t>
  </si>
  <si>
    <t>TCKU6225812
TCNU6549713</t>
  </si>
  <si>
    <t xml:space="preserve">[RS22/1] SZSE24012305 010400075634 </t>
  </si>
  <si>
    <t>AC Porath</t>
  </si>
  <si>
    <t>ZL125/01/24</t>
  </si>
  <si>
    <t>O/F: USD4800/40HQ via EMC
ETD: 13th.Feb with SI cut off date 7th.Feb
ETA: 26th.Mar
T/T: 43 Days
EXW cost: USD850/40HQ</t>
  </si>
  <si>
    <t>EXW Cost: USD1050/40HQ
O/F: USD5400/40HQ via EMC
THC 275 EUR/ per container
DOC 55 EUR/ per container
ISPS 25 EUR/ per container
ODPRAWA 175 EUR / per zgłoszenie 
TRANSPORT GDN &gt; RUMIA : 1400 PLN + BAF 3 % na dziś / per container</t>
  </si>
  <si>
    <t>TCNU7799996</t>
  </si>
  <si>
    <t>MRSU0566925</t>
  </si>
  <si>
    <t>[RS23/1] SZSE24012310 235656257</t>
  </si>
  <si>
    <t xml:space="preserve">HEBEI JILI RIGGING CO., LTD. </t>
  </si>
  <si>
    <t xml:space="preserve">OFR XINGANG – GDAŃSK : 125 USD WM *1,5CBM = 187,50 USD 
THC 20 USD WM * 1,5 CBM = 30 USD 
DOC 25 USD 
ODPRAWA 220 PLN
TRANSPORT: 450 PLN 
TOTAL ; 242,50 USD + 670 PLN </t>
  </si>
  <si>
    <t>EITU1232344</t>
  </si>
  <si>
    <t>Koszty CN (fracht, handling, odprawa, dowóz,profit dla agenta) * = 2195 USD,
fracht jest na linii LH (Lufthansa), tt przelotu 3-5 dni, routing PVG(Shanghai)-FRA-WAW
*Other charge such magnet inspection/commodity inspection/buy export paper: case by case
Lokalne w PL:
Odprawa ostateczna w naszej AC 105 EUR
Auto do Kwidzynia 550 PLN</t>
  </si>
  <si>
    <t>XINU1537016</t>
  </si>
  <si>
    <t xml:space="preserve">[RS25/1] SZSE24012503 010400125216 </t>
  </si>
  <si>
    <t xml:space="preserve">[RS14/1] SZSE24011510 010301297175 </t>
  </si>
  <si>
    <t>1370 USD</t>
  </si>
  <si>
    <t>ZL203/01/24</t>
  </si>
  <si>
    <t>HAMBURG</t>
  </si>
  <si>
    <t>INCHEON</t>
  </si>
  <si>
    <t>ZL168/01/24</t>
  </si>
  <si>
    <t>OF: 97 USD W/M
THC: 20 USD W/M
DOC: 20 USD
Odprawa: 220 PLN</t>
  </si>
  <si>
    <t>ZL206/01/24</t>
  </si>
  <si>
    <t xml:space="preserve">[RS16/1] SZSE24011708 NGP0721650 / NGP0721649 </t>
  </si>
  <si>
    <t xml:space="preserve">[RS13/1] SZSE24011113  NPG086473 </t>
  </si>
  <si>
    <t xml:space="preserve">[RS10/1] SZSE24011003 TJN0319256 </t>
  </si>
  <si>
    <t>3900 USD all in</t>
  </si>
  <si>
    <t>MSKU1667610</t>
  </si>
  <si>
    <t>TEMU6271900</t>
  </si>
  <si>
    <t>CMAU2814130</t>
  </si>
  <si>
    <t xml:space="preserve"> EXW Shenzhen 8000 USD All in z ubezpieczeniem + dodatkowo płatna odprawa celna </t>
  </si>
  <si>
    <t>ZL023/01/24</t>
  </si>
  <si>
    <t>Mundra</t>
  </si>
  <si>
    <t>3027 USD</t>
  </si>
  <si>
    <t>ZL011/02/24</t>
  </si>
  <si>
    <t>KAVEX Jakub Kawalec
Perlista 31a/2
71-794 Szczecin
NIP: 597-166-98-95</t>
  </si>
  <si>
    <t>ZL012/02/24</t>
  </si>
  <si>
    <t xml:space="preserve">Koszty lokalne Guangzhou: 	Jednostka 	40'HC 	Waluta 
pick up 	kontener 	2000 	USD 
Załadunek 	Rozładunek 	40'HC 	Waluta 
Guangzhou 	Warszawa 	7300 	USD 
Koszty lokalne Warszawa: 	Jednostka 	40'HC 	Waluta 
Handling fee 	kontener 	50 	USD 
	Szacunkowy koszt transportu: 
	9350 	USD </t>
  </si>
  <si>
    <t>Termin płatności (dni)</t>
  </si>
  <si>
    <t>SZ436000334624/006</t>
  </si>
  <si>
    <t>EITU9241698</t>
  </si>
  <si>
    <t xml:space="preserve">[RS11/1] SZSE24011007 </t>
  </si>
  <si>
    <t>SEGU6811766</t>
  </si>
  <si>
    <t>PFC01900</t>
  </si>
  <si>
    <t xml:space="preserve">OFR MUNDRA – GDYNIA 20 DV: 3115 USD per container 
THC 215 EUR per container
DOC 55 EUR per container
ISPS 25 EUR per container 
Ubezpieczenie wyniesie 761,96 PLN </t>
  </si>
  <si>
    <t>OOCU8689957</t>
  </si>
  <si>
    <t>EITU1263263 - 9629 kg 
EITU1230207 - 10795 kg</t>
  </si>
  <si>
    <t xml:space="preserve">[RS3/12] SZSE23121503  010301212056  </t>
  </si>
  <si>
    <t>MRSU4916831</t>
  </si>
  <si>
    <t>TCLU9291667</t>
  </si>
  <si>
    <t>ZL086/02/24</t>
  </si>
  <si>
    <t xml:space="preserve">Koszt odprawy importowej z 1. Poz. SAD w PL to
EUR 175
Rejestracja upoważnienia 125 EUR
KOSZTY TERMINALOWE / LOTNISKO : 
0,70 PLN per kg/1731kg = 1211,70 PLN :  HANDLING lotniska dla Ładunki niebezpieczne w tym bez DGD - (w rozumieniu przepisów IATA)
350 PLN : HANDLING RS GROUP 
1831 PLN per dzień: SKŁADOWE per dzień / to się dowiedziałem towar pod DGD
Przeładunek towar wrażliwe/ Ładunki niebezpieczne w tym bez DGD - (w rozumieniu przepisów IATA): 0,65 PLN per kg/1731 kg = 1125,15 PLN 
TRANSPORT: 950 PLN </t>
  </si>
  <si>
    <t>ZL094/02/24</t>
  </si>
  <si>
    <t>ZL095/02/24</t>
  </si>
  <si>
    <t>ZL105/02/24</t>
  </si>
  <si>
    <t>ZL104/02/24</t>
  </si>
  <si>
    <t>HNKU6057730</t>
  </si>
  <si>
    <t xml:space="preserve">EXW: 385USD 
</t>
  </si>
  <si>
    <t>SZ436000334624/004</t>
  </si>
  <si>
    <t xml:space="preserve">RO: 0156702 CAN/GDN/00536
Ul. Spokojna 16,
33-100 Tarnów
Osoba kontaktowa: Bogusław Czeczot, tel: 604 950 079.
Dostawa będzie na inny adres niż na fakturze, bo towar idzie do magazynu, ale to samo miasto. Pod spodem adres i dane osoby kontaktowej do odbioru. </t>
  </si>
  <si>
    <t>efaktury@tecweld.pl</t>
  </si>
  <si>
    <t xml:space="preserve">EXW: 985 USD / 800
O/F: USD5500/40HQ + 600 USD STORAGE  via EMC / 5200
THC 275 EUR/ per container
DOC 55 EUR/ per container
ISPS 25 EUR/ per container
ODPRAWA 175 EUR / per zgłoszenie 
TRANSPORT GDN &gt; RUMIA : 1400 PLN + BAF 3 % na dziś / per container
Niestety powstały spore koszty w wysokości 1000 USD. 
Weżniemy z Richardem po 200 USD na głowę, czyli 400 USD w sumie, żeby ci pomóc/ zostanie 600 USD </t>
  </si>
  <si>
    <t>O/F: USD4300/40HQ 
THC 205 EUR
DOC 55 EUR
ISPS 25 EUR
ODPRAWA 250 PLN
TRANSPRORT KOLEJ GDN &gt; OPOLE: 3600 PLN
TRANSPORT DROGOWY dla MSC/MSK - 3500 PLN</t>
  </si>
  <si>
    <t>TGBU8676358</t>
  </si>
  <si>
    <t>TCLU6812334</t>
  </si>
  <si>
    <t>EGSU9465828</t>
  </si>
  <si>
    <t>PFC01036/2024/MRY</t>
  </si>
  <si>
    <t>DRYU2757017
DRYU2996270
DRYU2567974
DRYU2668389
EGSU3068000
EGHU3183398
DRYU2670690
DRYU2690973</t>
  </si>
  <si>
    <t>SZ436000334624/007</t>
  </si>
  <si>
    <t>OOCU7069777</t>
  </si>
  <si>
    <t xml:space="preserve">EXW ANNUR-641653 : 790 USD
OFR TUTICORIN – GDAŃSK : 95 USD WM*3,8 CBM = 361 USD
+ 35 USD WM za EMS 
THC 20 USD WM *3,8 CBM = 76 USD
DOC 20 USD
ODPRAWA 220 PLN
TRANSPORT : 650 PLN </t>
  </si>
  <si>
    <t xml:space="preserve">R/F: USD8700/40HQ via Datian station </t>
  </si>
  <si>
    <t xml:space="preserve">R/F: USD7300/40HQ via Datian station </t>
  </si>
  <si>
    <t>ZL070/02/24</t>
  </si>
  <si>
    <t>Singapore</t>
  </si>
  <si>
    <t>Stan na 20.02
EXW SINGAPORE: 750 USD
OFR SINGAPORE – GDAŃSK : 115 USD WM *4,8 USD = 552 USD 
RED SEA CONTINGENCY SURCHARGE: 35 USD WM*4,8 CBM = 168 USD 
THC 20 USD WM *4,8 cbm = 96 USD
DOC 25 USD 
ODPRAWA 250 PLN
TRANSPORT GDN &gt; WAW ( LUZEM KARTONY ) : 900 PLN 
TRANSPORT GDN &gt; WAW ( PALETY ) : 1050 PLN</t>
  </si>
  <si>
    <t>ZL040/02/24</t>
  </si>
  <si>
    <t>CAIU4687730</t>
  </si>
  <si>
    <t>Total : 6194 kg
Cubic: 15,686 cbm 
1 x 115x115x195 cm – 1030 kg
1 x 115x115x193 cm – 965 kg
1 x 115x115x190 cm – 1058 kg
1 x 115x115x195 cm – 1065 kg
1 x 115x115x193cm – 941 kg
1 x 115x132x192cm – 1135 kg</t>
  </si>
  <si>
    <t>ZL133/02/24</t>
  </si>
  <si>
    <t>NEW order RO: 0171669</t>
  </si>
  <si>
    <t>ZL134/02/24</t>
  </si>
  <si>
    <t>[RS21/1] SZSE24012304 235541061</t>
  </si>
  <si>
    <t>EGSU9332342</t>
  </si>
  <si>
    <t>ZL040/12/23</t>
  </si>
  <si>
    <t>O/F 6400 USD</t>
  </si>
  <si>
    <t>40OT</t>
  </si>
  <si>
    <t>ROH AUTO PRODUCTS PHILIPPINES INC
    MARCOS ALVAREZ AVE TALON 5, 1740 LAS PINAS CENTRAL POST OFFICE, PH
    Osoba do kontaktu:
    Nick Caluya &lt;rohsteel@gmail.com&gt;
    tel. +638011116</t>
  </si>
  <si>
    <t>ALL IN 6800 USD /per container</t>
  </si>
  <si>
    <t>33a</t>
  </si>
  <si>
    <t>ZL034/02/24</t>
  </si>
  <si>
    <t xml:space="preserve">[RS2/2] SZSE24022303 236689978  40HC OPEN TOP </t>
  </si>
  <si>
    <t>Manila</t>
  </si>
  <si>
    <t>ZHANJIANG KINGONE VEHICLE CO., LTD.</t>
  </si>
  <si>
    <t>CMAU2854976
CMAU2834394
CMAU2860310</t>
  </si>
  <si>
    <t>CSNU1204565</t>
  </si>
  <si>
    <t>DRYU9249110</t>
  </si>
  <si>
    <t>TGHU9783671</t>
  </si>
  <si>
    <t>Dobinsons Spring &amp; Suspension - Australia
58 Hollingsworth Street
North Rockhampton QLD 4701</t>
  </si>
  <si>
    <t>ZL188/02/24</t>
  </si>
  <si>
    <t>PFC03521/2024/MRY</t>
  </si>
  <si>
    <t xml:space="preserve">EXW CHINA : 455 USD 
OFR NINGBO – GDAŃSK : 87 USD WM * 9 CBM = 783 USD 
THC 20 USD WM * 9 CBM = 180 USD
DOC 20 USD
ODPRAWA 250 PLN
TRANSPORT GDN &gt; 16-010 : 1350 PLN 
TOTAL : 1418 USD +1600 PLN 
</t>
  </si>
  <si>
    <t xml:space="preserve">FOB BRISBANE via HONG KONG to GDAŃSK : 187 USD WM * 15,686cbm = 3247 USD / położymy coś lekkiego na palety 
THC 20 USD WM *15,686 CBM = 313,72USD 
DOC 20 USD 
ODPRAWA 220 PLN 
TRANSPORT AUTO Z WINDĄ : 2300 PLN
TOTAL : 3580,72 USD + 2520 PLN </t>
  </si>
  <si>
    <t>160 USD WM</t>
  </si>
  <si>
    <t>ZL189/02/24</t>
  </si>
  <si>
    <t>AC Klienta Taksim-pol</t>
  </si>
  <si>
    <t>Gdansk</t>
  </si>
  <si>
    <t>ZL193/02/24</t>
  </si>
  <si>
    <t>[RS3/2] SZSE24022902</t>
  </si>
  <si>
    <t>[RS4/2] SZSE24022908</t>
  </si>
  <si>
    <t>PFC03584/2024/MRY</t>
  </si>
  <si>
    <t>EXW: 985 USD 
O/F: USD3500/40HQ via CMA
ETD: 15th.Mar with SI cut off date 11th.Mar
ETA: 11th.May
T/T: 57 Days
THC 275 EUR/ per container
DOC 55 EUR/ per container
ISPS 25 EUR/ per container
ODPRAWA 175 EUR / per zgłoszenie 
TRANSPORT GDN &gt; RUMIA : 1400 PLN + BAF 3 % na dziś / per container</t>
  </si>
  <si>
    <t>ZL207/02/24</t>
  </si>
  <si>
    <t>OFR QINGDAO -GDANSK 40HC : 3300 USD per container 
THC 255 EUR per container
DOC 55 EUR per container
ISPS 25 EUR per container
ODPRAWA 250 PLN
TRANSPORT GDN &gt; TORUŃ 40HC : 1900 PLN per container</t>
  </si>
  <si>
    <t>QINGDAO EVERGREAT INDUSTRIES CO., LTD
ADD:CHAOYANGSHAN ROAD,HUANGDAO DISTRICT,QINGDAO,CHINA
Email: oceanjk@163.com     Contact person:ocean zhao                                                       
Wechat/WhatsApp:008613863918122</t>
  </si>
  <si>
    <t>ZL194/02/24</t>
  </si>
  <si>
    <t>OFR SHANGHAI -GDANSK 40HC : 3300 USD per container 
THC 255 EUR per container
DOC 55 EUR per container
ISPS 25 EUR per container
ODPRAWA 250 PLN
TRANSPORT GDN &gt; TORUŃ 40HC : 1900 PLN per container</t>
  </si>
  <si>
    <t>TAK SZ436000334624/008</t>
  </si>
  <si>
    <t>EMC</t>
  </si>
  <si>
    <t>Drishti Chauhan
Manager – Customer Service &amp; Operations
Gandhidham Office
Clearship Group
E: asstmgr.gdm@clearship.com | Mobile : 9167733885</t>
  </si>
  <si>
    <t>Comet Granito 
Phone : +91 98795 09411
Email: export.granicer@gmail.com</t>
  </si>
  <si>
    <t>ZL209/02/24</t>
  </si>
  <si>
    <t xml:space="preserve">OFR MUNDRA – GDYNIA 20 DV: 2995 USD per container 
THC 215 EUR per container
DOC 55 EUR per container
ISPS 25 EUR per container </t>
  </si>
  <si>
    <t>OFR 2900 USD</t>
  </si>
  <si>
    <t>ZL210/02/24</t>
  </si>
  <si>
    <t>PETMEX Company Sp. z o.o.</t>
  </si>
  <si>
    <t>O/F: USD3250/40HQ via CMA per container
ETD: 12th.Mar with SI cut off date 7th.Mar
ETA: 23rd.Apr
T/T: 42 Days
THC 205 EUR per container
DOC 55 EUR per container
ISPS 25 EUR per container</t>
  </si>
  <si>
    <t>[RS1/3] SZSE24030109</t>
  </si>
  <si>
    <t xml:space="preserve">USD1700/20GP </t>
  </si>
  <si>
    <t xml:space="preserve">O/F: USD1975/20GP MSK per container 
THC 210 EUR per container 
DOC 55 EUR per container
ISPS 25 EUR per container
TRANSPORT GDN &gt; KRAKÓW 20 DV KOLEJ : 3000 PLN per container </t>
  </si>
  <si>
    <t>ZL003/03/24</t>
  </si>
  <si>
    <t>O/F: USD3400/40HQ via CMA
ETD: 11th.Mar with SI cut off date 9th.Mar
ETA: 2nd.,May
T/T: 52 Days
THC 205 EUR
DOC 55 EUR 
ISPS 25 EUR 
TRANSPORT GDN &gt; BYTOM : 3400 PLN + BAF 3%</t>
  </si>
  <si>
    <t xml:space="preserve">USD5100/40HQ via EMC
Ningbo ETD: 28th.Jan with SI cut off date 24th.Jan
THC 205 EUR per container
DOC 55 EUR per container
ISPS 25 EUR per container
ODPRAWA 250 PLN per BL
TRANSPORT drogowy GDN&gt; Świnna Poręba 127a, 34-106 Mucharz:  4300 PLN per container 
TRANSPORT kolejowy GDN &gt; Świnna Poręba 127a, 34-106 Mucharz: 4000 per container
INSURANCE 350 PLN </t>
  </si>
  <si>
    <t xml:space="preserve">4870 USD
</t>
  </si>
  <si>
    <t>USD2800/40HQ</t>
  </si>
  <si>
    <t>QINGDAO HEALTHY CARE FOODSTUFF CO.,LTD</t>
  </si>
  <si>
    <t>[RS3/3] SZSE24030118</t>
  </si>
  <si>
    <t>ZL006/03/24</t>
  </si>
  <si>
    <t>ZL005/03/24</t>
  </si>
  <si>
    <t>OFR SHANGHAI – GDAŃSK : 71 USD WM * 6,766 = 479,96 USD 
THC 20 USD WM * 6,766 = 135,32 USD 
DOC 20 USD 
ODPRAWA 250 PLN 
TRANSPORT GDN &gt; PŁOCK : 1400 PLN 
TOTAL: 635,28 USD + 1650 PLN</t>
  </si>
  <si>
    <t>Taryfa PFC bez dodatku OWS</t>
  </si>
  <si>
    <t xml:space="preserve">GUI ZHOU CORF TECHNOLOGY CO., LIMITED    </t>
  </si>
  <si>
    <t>Przedsiębiorstwo Handlowo Transportowe OMEGA  Tomasz Laszuk Sp. Komandytowa</t>
  </si>
  <si>
    <t>SZ436000334624/009</t>
  </si>
  <si>
    <t>ZL008/03/24</t>
  </si>
  <si>
    <t>rate USD2800/40HQ+EXW cost: USD820/40HQ</t>
  </si>
  <si>
    <t>ZL107/01/24</t>
  </si>
  <si>
    <t>CHENGDU GUTE MACHINERY WORKS CO.,</t>
  </si>
  <si>
    <t>HANGZHOU WINTOOLS TECHNOLOGY &amp; DEVELOPMENT CO.,LTD.</t>
  </si>
  <si>
    <t>SZ436000334624/005</t>
  </si>
  <si>
    <t>O/F: USD3150/20GP via MSK // 3000 USD
THC 205 EUR
DOC 55 EUR
ISPS 25 EUR
ODPRAWA 220 PLN
TRANSPORT GDN &gt; OSIELSKO 20DV: 1900 PLN 
składka: 260,74 PLN</t>
  </si>
  <si>
    <t>NIE</t>
  </si>
  <si>
    <t>???</t>
  </si>
  <si>
    <t xml:space="preserve">SKYLARK NETWORK CO.,LTD.
Santiago Wang +86 182 0405 5356 - </t>
  </si>
  <si>
    <t>MAEU4205412</t>
  </si>
  <si>
    <t xml:space="preserve">394 cartons </t>
  </si>
  <si>
    <t>[RS5/3]  SZSE24030408 / SO#: 236970938</t>
  </si>
  <si>
    <t>Commodity: Steel wheels
1X20GP/5487.16KGS/327PCS/CRD:29th</t>
  </si>
  <si>
    <t>O/F: USD3300/40HQ 
THC 205 EUR
DOC 55 EUR 
ISPS 25 EUR
ODPRAWA 250 PLN
TRANSPRORT KOLEJ GDN &gt; OPOLE: 3600 PLN
TRANSPORT DROGOWY dla MSC/MSK - 3500 PLN</t>
  </si>
  <si>
    <t>ZL026/03/24</t>
  </si>
  <si>
    <t>ZL027/03/24</t>
  </si>
  <si>
    <t>33a ENIGMA</t>
  </si>
  <si>
    <t>33a ENIGMa</t>
  </si>
  <si>
    <t>Shenzhen Feiyasi Electronic Ecommerce Co., Ltd.</t>
  </si>
  <si>
    <t>Kavex Jakub Kawalec</t>
  </si>
  <si>
    <t xml:space="preserve">EXW: 390 USD + 175 USD dodatkowy kozst za licencje i odprawe eksportowa
OFR SHENZHEN – GDAŃSK : 107 USD WM * 3,68 CBM = 393,76 USD 
THC 20 USD WM *3,68 USD = 73,60 USD 
DOC 25 USD 
ODPRAWA 250 PLN
TRANSPORT GDN &gt; 71-794 Szczecin : 750 PLN + 100 PLN / winda + paleciak 
TOTAL : 882,36 USD + 1000 PLN </t>
  </si>
  <si>
    <t>EXW: 290 USD + 140 USD</t>
  </si>
  <si>
    <t>art 33a anna@acspedycja.pl</t>
  </si>
  <si>
    <t>NINGBO FABE CHILD SAFETY CO.,LTD</t>
  </si>
  <si>
    <t>SZ436000334624/010</t>
  </si>
  <si>
    <t>O/F: USD4850/40HQ via EMC
273,65 PLN</t>
  </si>
  <si>
    <t>O/F: USD5100/40HQ via EMC
ETD: 8th.Feb with SI cut off date 4th.Feb
ETA: 12th.Mar
T/T: 34 Days 
THC 205 EUR per container
DOC 55 EUR per container
ISPS 25 EUR per container
TRANSPORT drogowy GDN&gt; Świnna Poręba 127a, 34-106 Mucharz:  4300 PLN per container 
TRANSPORT kolejowy GDN &gt; Świnna Poręba 127a, 34-106 Mucharz: 4000 per container
INSURANCE 325 PLN</t>
  </si>
  <si>
    <t>HAILIAN PACKAGING EQUIPMENT CO.,LTD
Savior Chen
+86 13301568240
sales1@dairymachinery.cc</t>
  </si>
  <si>
    <t>1X40HQ/65CBM/8000KGS/8Pallates</t>
  </si>
  <si>
    <t>2750 USD</t>
  </si>
  <si>
    <t>Complex SAD</t>
  </si>
  <si>
    <t xml:space="preserve">UETU5568593 -&gt; CXRU1496689
</t>
  </si>
  <si>
    <t>USD2970/40HQ</t>
  </si>
  <si>
    <t>Guangdong Baiyun Cleaning Company Limited
(renamed from 22nd March,2021)
E-mail:by813@byclean.cn
Tel:(8620) 86062028
Fax:(8620) 86060168</t>
  </si>
  <si>
    <t xml:space="preserve">OFR JEBEL ALI – GDANSK : 183 USD WM * 8,03 CBM = 1469,49 USD
THC 20 USD WM * 8,03 CBM = 160,60 USD
DOC 20 USD
ODPRAWA 250 PLN
TRANSPORT GDN &gt; WAW: 1200 PLN 
TOTAL : 1650,09 USD + 1450 PLN </t>
  </si>
  <si>
    <t>Odprawa + odwoz 236023894</t>
  </si>
  <si>
    <t>TCKU7258364</t>
  </si>
  <si>
    <t xml:space="preserve">THC 275 EUR
DOC 55 EUR 
ISPS 25 EUR 
ODPRAWA : 175 EUR 
TRANSPORT HAMBURG &gt; ŁÓDZ : 1350 EUR  ( STAWKI POSZŁY W GÓRĘ Z RACJI MYTA W NIEMCZECH) </t>
  </si>
  <si>
    <t>Zhejiang Ruier Leisure Products Co., Ltd.
Real Group
Email: felicia@realgroup.cn
Tel:  86-0571-81026282
Whatsapp: +86 13758017665
Mob/Wechat:  13336096256</t>
  </si>
  <si>
    <t>ZL031/03/24</t>
  </si>
  <si>
    <t>ZL032/03/24</t>
  </si>
  <si>
    <t>2750/40HQ</t>
  </si>
  <si>
    <t xml:space="preserve">NANSHA </t>
  </si>
  <si>
    <t xml:space="preserve">3200 USD
285 EUR
250 PLN
3500 PLN </t>
  </si>
  <si>
    <t xml:space="preserve">[RS6/3] SZSE24030410 177LNCNCN2H271A </t>
  </si>
  <si>
    <t>1X40HQ/68CBM/5500KGS/390PCS/CRD:12th.Mar/FOB Nansha to Gdansk</t>
  </si>
  <si>
    <t>OFR XINGANG – GDAŃSK 20DV: 1700 USD
THC 210 EUR
DOC 55 EUR
ISPS 25 EUR
TRANSPORT 20DV : 2900 PLN ( stawka ważna do 31.03.2024)</t>
  </si>
  <si>
    <t>ZL042/03/24</t>
  </si>
  <si>
    <t>ZL046/03/24</t>
  </si>
  <si>
    <t>TAS TEXTILES INDIA PRIVATE LIMITED</t>
  </si>
  <si>
    <t>RO: 0172596 BNE/GDN/00095</t>
  </si>
  <si>
    <t>O/F: USD6900/40OT via MSK
THC 350 EUR
DOC 55 EUR
ISPS 25 EUR
ODPRAWA 220 PLN
TRANSPORT DĘBICA 39-200 : 5500 PLN + BAF 3%
INSURANCE ??? 469,31 PLN</t>
  </si>
  <si>
    <t>SZ436000334624/011</t>
  </si>
  <si>
    <t>MSKU7500908</t>
  </si>
  <si>
    <t>[RS1/2] SZSE24021904 OOLU2733807270</t>
  </si>
  <si>
    <t>OOCL</t>
  </si>
  <si>
    <t xml:space="preserve">[RS9/3] SZSE24030518 181AN24C0112570S1 </t>
  </si>
  <si>
    <t>PFC04063/2024/MRY EXW morski - NIHON - - ZXPCD20240104</t>
  </si>
  <si>
    <t>Kinmy Jiang
Tel: +86 1311 957 4523
Email: cs5.exp.szx@chinacoast.com.cn</t>
  </si>
  <si>
    <t>EXW Shenzhen: 280 USD
+ stawki taryfowe</t>
  </si>
  <si>
    <t>Shenzhen Zhongxi Security Co., Ltd</t>
  </si>
  <si>
    <t>ZL049/03/24</t>
  </si>
  <si>
    <t xml:space="preserve">Odprawa + odwoz </t>
  </si>
  <si>
    <t>ZL047/03/24</t>
  </si>
  <si>
    <t>1X40HQ/67.07CBM/5889.6KGS/451CTNS/CRD:10th.Mar/FOB Huangpu to Gdansk</t>
  </si>
  <si>
    <t xml:space="preserve">[RS8/3] SZSE24030107 181AGG4TC018141S1 </t>
  </si>
  <si>
    <t>MSDU7935340</t>
  </si>
  <si>
    <t>SKYLARK NETWORK CO.,LTD.</t>
  </si>
  <si>
    <t>SHANTOU CHENGHAI AJB TOYS LIMITED</t>
  </si>
  <si>
    <t>[RS15/1] SZSE24011601 NGP0740743</t>
  </si>
  <si>
    <t>MSKU1476872 - 22832 kg
MSKU1054814 - 13168 kg</t>
  </si>
  <si>
    <t>HANGZHOU WINTOOLS TECHNOLOGY &amp; DEVELOPMENT CO.,LTD.
Shipper: CRM@WINTOOLS.COM.CN 
86 13666605503</t>
  </si>
  <si>
    <t>2535 USD</t>
  </si>
  <si>
    <t>Commodity: TOOL CABINET
3X40HQ/167CBM/28659KGS/195CTNS/CRD:5th.Mar/FOB Ningbo to Gdansk</t>
  </si>
  <si>
    <t>OFR SHANGHAI -GDANSK 40HC : 3000 USD per container 
THC 255 EUR per container
DOC 55 EUR per container
ISPS 25 EUR per container
ODPRAWA 250 PLN
TRANSPORT GDN &gt; TORUŃ 40HC : 1900 PLN per container</t>
  </si>
  <si>
    <t>PRZEDPŁATA</t>
  </si>
  <si>
    <t>MSDU8106473</t>
  </si>
  <si>
    <t>[RS2/3] SZSE24030114 177ICACAQ0808VFB</t>
  </si>
  <si>
    <t>Ho Chi Minh</t>
  </si>
  <si>
    <t>O/F: USD1900/20GP via MSK</t>
  </si>
  <si>
    <t>O/F: USD2100/20GP via MSK
ETD: 8th.Apr with SI cut off date 4th.Apr
ETA: 17th.May
T/T: 39 Days
THC 205 EUR per container
DOC 55 EUR per container
ISPS 25 EUR per container</t>
  </si>
  <si>
    <t>YANCHENG TIANTE VALVE CO.,LTD.</t>
  </si>
  <si>
    <t>OF: 55 USD W/M (15-31/3)</t>
  </si>
  <si>
    <t>Mr. Fengy
Tel: +86-21-63930701
E-mail: swin@jiyida-logistics.com</t>
  </si>
  <si>
    <t xml:space="preserve">OFR 65 USD WM * 4,86 CBM = 315,90 USD
THC 20 USD WM * 4,86 CBM = 97,20 USD 
DOC 25 USD 
ODPRAWA 220 PLN
TRANSPORT GDN &gt; OSIELSKO 86-031 : 1000 PLN  
TOTAL: 438,10 USD + 1220 PLN  </t>
  </si>
  <si>
    <t>Tiante Valve (China)
E-mail:yan@tt-valve.com.cn 
            everbestvalve@hotmail.com</t>
  </si>
  <si>
    <t>FCA</t>
  </si>
  <si>
    <t>Płatna waga 5,6</t>
  </si>
  <si>
    <t>Local: 175 USD
Rail:" 137 * 5,6 = 767 USD</t>
  </si>
  <si>
    <t>Shee@smilelogistics.com 
MB/WA/Skype/Wechat:13510294492 
ShenZhen Smile Int'l Logistics Co.,LTD.</t>
  </si>
  <si>
    <t xml:space="preserve">FCA Shanghai - Warsaw  USD 1150 TOTAL
DTHS wliczone
DOC: 20 USD/BL
Odprawa: 250 PLN/SAD
 </t>
  </si>
  <si>
    <t>ZL080/03/24</t>
  </si>
  <si>
    <t>ZL081/03/24</t>
  </si>
  <si>
    <t>ZL084/03/24</t>
  </si>
  <si>
    <t>ZL086/03/24</t>
  </si>
  <si>
    <t>ZL087/03/24</t>
  </si>
  <si>
    <t>ShenZhen Ju Wei Trading limited company</t>
  </si>
  <si>
    <t xml:space="preserve">MEMFIS SPÓŁKA Z OGRANICZONĄ ODPOWIEDZIALNOŚCIĄ    </t>
  </si>
  <si>
    <t>Commodity: Coat Hanger
1X40HQ/68CBM/12000KGS/584CTNS=7008PCS/CRD:Ready/EXW Shaoxing to Hamburg via Ningbo</t>
  </si>
  <si>
    <t>USD2700/40HQ+EXW Cost: USD900/40HQ</t>
  </si>
  <si>
    <t xml:space="preserve">CS 0368 II  Ok 13500 usd 2 kontenery </t>
  </si>
  <si>
    <t xml:space="preserve">EXW Cost: USD1100/40HQ
OFR MAIN PORTS CHINA – HAMBURG: 2900 USD 
THC 285 EUR
DOC 75 EUR
ISPS 35 EUR
TRANSPORT HAMBURG – ZACZERNIE : 1900 EUR ( do 15 ton) </t>
  </si>
  <si>
    <t xml:space="preserve">EXW Shaoxing </t>
  </si>
  <si>
    <t>Kaoshiung</t>
  </si>
  <si>
    <t xml:space="preserve">FOB KAOHSIUNG - GDAŃSK : 99 USD WM * 5,175 CBM = 512,32 USD THC 20 USD WM * 5,175 CBM = 103,50 USD DOC 27 USD per B/L ODPRAWA 250 PLN TRANSPORT GDN &gt; CHĘCINY 26-060 : 1300 PLN 
TOTAL : 642,82 USD = 1550 PLN </t>
  </si>
  <si>
    <t>73 USD WM</t>
  </si>
  <si>
    <t xml:space="preserve">Changsha </t>
  </si>
  <si>
    <t>TRHU7826668</t>
  </si>
  <si>
    <t>ZL046/01/24 (USD) + ZL113/03/24 (EUR) + ZL114/03/24 (PLN)</t>
  </si>
  <si>
    <t>ZL047/01/24 (USD) + ZL115/03/24 (EUR) + ZL116/03/24 (PLN)</t>
  </si>
  <si>
    <t xml:space="preserve">ZL030/01/24 </t>
  </si>
  <si>
    <t>ZL003/01/24 (USD) + ZL117/03/24 (EUR) + ZL118/03/24 (PLN)</t>
  </si>
  <si>
    <t xml:space="preserve">EXW Shenzhen: 355 USD
OFR 70 USD WM * 1,754 CBM = 122,78 USD 
THC 15 USD WM *1,754 CBM = 26,31 USD
DOC 25 USD
TRANSPORT  580 = 148 USD 
TOTAL: 677,09 USD </t>
  </si>
  <si>
    <t xml:space="preserve">Podjęcie Wasilków – Gdańsk : 2800 PLN  (ze stopem na odprawę)
Jeżeli chodzi o wagę w drogówce to za każda 1 tonę extra należy dopłacić 200 PLN
DOC 55 EUR
VGM 35 EUR 
THC 150 EUR
GDK – SHANGHAI 40 HC: 950 USD </t>
  </si>
  <si>
    <t>Booking number: 237323747</t>
  </si>
  <si>
    <t>O/F: USD5300/40HQ via MSK
THC 235 EUR /  per container 
DOC 55 EUR/  per container
ISPS 25 EUR/  per container
ODPRAWA 250 PLN //  per B/L
Transport GDN &gt; 58-200 dzierzoniów : 3700 + baf dla armatora MSK</t>
  </si>
  <si>
    <t>MSCU6583745</t>
  </si>
  <si>
    <t>&gt;&gt; OFR SHANGHAI/NINGBO - GDAŃSK : 75 USD WM * 1,7 CBM = 127,50 USD THC 
&gt;&gt; 15 USD WM * 1,7 CBM = 25,50 USD DOC 25 USD TRANSPORT 290 PLN ( 75 
&gt;&gt; USD)
&gt;&gt;
&gt;&gt; TOTAL : 253 USD</t>
  </si>
  <si>
    <t>Mr. Fengy 
Tel: +86-21-63930701 
E-mail: swin@jiyida-logistics.com</t>
  </si>
  <si>
    <t>OF: 55 USD W/M
THC: 10 USD W/M, MIN 20 USD
DOC: 20 USD
DSK: 7 USD</t>
  </si>
  <si>
    <t>Richard</t>
  </si>
  <si>
    <t xml:space="preserve">KONSOLIDACJA CHINY : 150 USD
O/F: USD1720/20GP via MSK
ETD: 31st.Mar with SI cut off date 26th.Mar
ETA: 24th.Mar
THC 205 EUR
DOC 55 EUR
ISPS 25 EUR
TRANSPORT GDN &gt; BYTOM 20DV : 2950 PLN </t>
  </si>
  <si>
    <t>MSDU8665070</t>
  </si>
  <si>
    <t>stoły kateringowe to 16495$</t>
  </si>
  <si>
    <t>[RS12/1] SZSE24011104 234628610  LP00003/03/24</t>
  </si>
  <si>
    <t>TGBU3615278</t>
  </si>
  <si>
    <t>ZL132/03/24</t>
  </si>
  <si>
    <t>SZCHARA</t>
  </si>
  <si>
    <t>HEBEI MINGSHUAI FURNITURE SALES CO.,LTD.</t>
  </si>
  <si>
    <t>Szchara sp. z o.o.</t>
  </si>
  <si>
    <t xml:space="preserve">Commodity: CHAIR AND TABLE
1X40HQ/68.07CBM/12592KGS/2820PACKAGES/CRD:23rd.Mar/FOB </t>
  </si>
  <si>
    <t>EXW Cost: USD975/40HQ
O/F: USD4975/40HQ via EMC
THC 275 EUR/ per container
DOC 55 EUR/ per container
ISPS 25 EUR/ per container
ODPRAWA 175 EUR / per zgłoszenie 
TRANSPORT GDN &gt; RUMIA : 1400 PLN + BAF 3 % na dziś / per container</t>
  </si>
  <si>
    <t xml:space="preserve"> PFC04482 U1107324010401</t>
  </si>
  <si>
    <t>UNV Digital Technologies Company limited
Echo 黄桂英
Mobile: +86-18158405369
E-mail: huangguiying@uniview.com
Add: No. 369, Xietong Road, Xixing Sub-district, Binjiang District, Hangzhou City, Zhejiang Province, China(310051)</t>
  </si>
  <si>
    <t>FOB TJN: 80 USD W/M
THC: 20 USD
DOC: 20 USD
DSK: 7 USD</t>
  </si>
  <si>
    <t xml:space="preserve">RAIL SMLCD24031321  </t>
  </si>
  <si>
    <t>Faktury</t>
  </si>
  <si>
    <t>Faktury walutowe</t>
  </si>
  <si>
    <t>ZL086/01/24 (USD) + ZL152/03/24 (EUR) + ZL153/03/24 (PLN) - DO KONTENERA TCKU6225812
ZL154/03/24 (USD) + ZL155/03/24 (EUR) + ZL156/03/24 (PLN) - DO KONTENERA TCNU6549713</t>
  </si>
  <si>
    <t>SZ436000334624/012</t>
  </si>
  <si>
    <t>OFR NINGBO - GDAŃSK 40 HC : 3400 USD 
THC 205 EUR per container
DOC 55 EUR per container
ISPS 25 EUR per container
ODPRAWA 250 PLN per BL
TRANSPORT drogowy GDN&gt; Świnna Poręba 127a, 34-106 Mucharz:  4300 PLN per container 
TRANSPORT kolejowy GDN &gt; Świnna Poręba 127a, 34-106 Mucharz: 4000 per container
INSURANCE 250 PLN 
ALL IN : 3400USD ( FRACHT) + 307 USD ( KOSZTY LOKALNE) + 1139USD ( ODPRAWA + TRANSPORT KOLEJ) = 4846 USD</t>
  </si>
  <si>
    <t>ZL208/02/24 (USD) + ZL160/03/24 (EUR) + ZL161/03/24 (PLN)</t>
  </si>
  <si>
    <t>MSMU8761738</t>
  </si>
  <si>
    <t>MEDU7491228</t>
  </si>
  <si>
    <t>ZL045/01/24 (USD) + ZL168/03/24 (EUR) + ZL169/03/24 (PLN)</t>
  </si>
  <si>
    <t>PFC04259 Dostałam informację, że załadowca będzie mieć przygotowany towar 24.03. Najwcześniejsze wyjście to ETD 2.04.</t>
  </si>
  <si>
    <t>ZL170/03/24</t>
  </si>
  <si>
    <t>EXW ROCKFORD</t>
  </si>
  <si>
    <t>Chicago</t>
  </si>
  <si>
    <t>ZL171/03/24</t>
  </si>
  <si>
    <t>ZL092/03/24 -sprawdz
ZL122/03/24</t>
  </si>
  <si>
    <t>ZL133/03/24</t>
  </si>
  <si>
    <t>ZL125/03/24</t>
  </si>
  <si>
    <t>ZL126/03/24</t>
  </si>
  <si>
    <t>Anhui Willsoon Furniture Co.,Ltd
Add.: Baishijian Rd., Langxi Economic Development Zone, Anhui, China
Mobile:+86 181 3025 3152/+86 187 5631 2917
Wechat/ Whatsapp/Facebook: +86 187 5631 2917
Skype ：+86 181 3025 3152
Email: carrie@willsoonfurn.com</t>
  </si>
  <si>
    <t xml:space="preserve">40HC z SHANGHAI / NINGBO– GDANSK S/ANHUI </t>
  </si>
  <si>
    <t>ZL131/03/24</t>
  </si>
  <si>
    <t>ZL134/03/24</t>
  </si>
  <si>
    <t>0175335 Import USA LCL Przyjalem pod  RO 175372</t>
  </si>
  <si>
    <t>DRGLASS</t>
  </si>
  <si>
    <t xml:space="preserve">Email: sales23@topko.com 
Tel/WeChat/Whatsapp:: 86 13292318821 
Skype: Topko-sales2 
TOPKO PRODUCT GROUP LTD 
Add: RM 6G, 2981 Dongfang Road, Shanghai , 200125, China 
Contact person: Jim Li </t>
  </si>
  <si>
    <t>ZL157/03/24</t>
  </si>
  <si>
    <t xml:space="preserve">OFR BRISBANE - HKG - GDAŃSK : 187 USD WM * 12,01 cbm = 2245,87 USD THC 20 USD WM *12,01 cbm = 240,20 USD DOC 20 USD ODPRAWA 250 PLN TRANSPORT GDN &gt; DŁUGOŁEKA ( AUTO BEZ WINDY) : 2200 PLN  
TOTAL: 2506,07 USD + 2450 PLN </t>
  </si>
  <si>
    <t xml:space="preserve">[RS13/3] SZSE24031204 237033022 </t>
  </si>
  <si>
    <t>2700 USD</t>
  </si>
  <si>
    <t xml:space="preserve">[RS14/3] SZSE24031506 177KVBACXRNN1398 </t>
  </si>
  <si>
    <t>GATU0236000 - 19670kg
MSDU2773376 - 19270kg</t>
  </si>
  <si>
    <t>0175345 MEL/GDN/0068203</t>
  </si>
  <si>
    <t>Dalian</t>
  </si>
  <si>
    <t>airfreight +500kg usd4.10/kgs ( The earliest space will be on 23 Mar ) -&gt; 2585 USD
inland transit from Guangzhou to Dalian airport  : usd155/Shpt 
Lokalne w WAW:
Dostawa: 450 PLN
odprawa w naszej AC ostateczna 200 PLN</t>
  </si>
  <si>
    <t>ZL179/03/24</t>
  </si>
  <si>
    <t>ZL113/01/24 (USD) + ZL180/03/24 (EUR) + ZL181/03/24 (PLN)</t>
  </si>
  <si>
    <t>LUOYANG EASTERN SUNRISE CO.,LTD
2-1302, NO.32 BUILDING, CHANGXIAMEN STREET, LUOLONG DISTRICT,
LUOYANG CITY, HENAN PROVINCE, CHINA</t>
  </si>
  <si>
    <t>ANHUI WILLSOON FURNITURE CO.,LTD.</t>
  </si>
  <si>
    <t>MSDU8807391</t>
  </si>
  <si>
    <t>PFC04832 AIR Messi Cup</t>
  </si>
  <si>
    <t xml:space="preserve">EXW Baoan </t>
  </si>
  <si>
    <t>ZL183/03/24</t>
  </si>
  <si>
    <t>6.359CBM/2172.5KGS/125CTNS/CRD:Ready/EXW Changsha to Warsaw via LCL</t>
  </si>
  <si>
    <t>Yangjiang Kaimi Import and Export Co., Ltd</t>
  </si>
  <si>
    <t>EXW Changsha to Warsaw
EXW Cost: 400 USD ( DOC, CUSTOM CLEARANCE,CONSOLIDATION FEE)
R/F: USD150/CBM via Changsha station = 953,85 USD 
ODPRAWA 300 PLN
TRANSPORT MALA : 1350 PLN 
ETD: 30th.Mar
T/T: Around 18 Days</t>
  </si>
  <si>
    <t>EXW Changsha to Warsaw
R/F: USD135/CBM via Changsha station
ETD: 30th.Mar
T/T: Around 18 Days
EXW Cost:
Doc: USD150/BL
Customs clearance fee: USD50/BL
Consolidate fee: USD75/Shipment</t>
  </si>
  <si>
    <t>Shaoxing Xieli Fire Safety Equipment Co., Ltd</t>
  </si>
  <si>
    <t>ZL184/03/24</t>
  </si>
  <si>
    <t xml:space="preserve">[RS15/3] </t>
  </si>
  <si>
    <t>TRHU7324696</t>
  </si>
  <si>
    <t xml:space="preserve">O/F: USD3250/20GP via MSK / 3100 USD
THC GDAŃSK 205 EUR
DOC 55 EUR
ISPS 25 EUR  
TRANSPORT GDN &gt; BYDGOSZCZ 20 DV : 1950 PLN </t>
  </si>
  <si>
    <t>gdansk</t>
  </si>
  <si>
    <t xml:space="preserve">OFR NINGBO – GDANSK : 1450 USD per 20 DV 
THC 205 EUR
DOC 55 EUR
ISPS 25 EUR
ODPRAWA 250 PLN 
TRANSPORT kolej GDN&gt; Świnna Poręba 127a, 34-106 Mucharz 20 DV: 3500 PLN </t>
  </si>
  <si>
    <t xml:space="preserve">[RS11/3] SZSE24030816 177LNCNCN1H366A </t>
  </si>
  <si>
    <t>MSDU5888110 - 6720
MSMU7617726 - 10716,6
FFAU2080902 - 10602</t>
  </si>
  <si>
    <t>Qingdao Bestyear Hardware &amp; Machinery Co.,Ltd</t>
  </si>
  <si>
    <t>FEIXIAN DALU VALVE CO.,LTD</t>
  </si>
  <si>
    <t>FAMU8830100</t>
  </si>
  <si>
    <t>ZL186/03/24</t>
  </si>
  <si>
    <t>1850 PLN</t>
  </si>
  <si>
    <t>ZL187/03/24</t>
  </si>
  <si>
    <t>Faktura po NPB</t>
  </si>
  <si>
    <t>Faktury po NBP</t>
  </si>
  <si>
    <t>FCIU7407554</t>
  </si>
  <si>
    <t xml:space="preserve">[RS7/3] SZSE24030411 </t>
  </si>
  <si>
    <t>1x40HQ FOB Ningbo ETD 15.04</t>
  </si>
  <si>
    <t>FBIU5025571</t>
  </si>
  <si>
    <t>AIR PROFICARGO 7756 3356 1402</t>
  </si>
  <si>
    <t>TLLU7922340 - 9397.5KGS
MEDU8536116 - 8622.5KGS</t>
  </si>
  <si>
    <t>AC Klienta - Complex SAD</t>
  </si>
  <si>
    <t xml:space="preserve">O/F: USD1625/20GP </t>
  </si>
  <si>
    <t>[RS16/3] FOB Ho Chi Minh</t>
  </si>
  <si>
    <t>HANG XANH COMPANY LIMITED</t>
  </si>
  <si>
    <t>PETMEX COMPANY SP. Z O. O.</t>
  </si>
  <si>
    <t xml:space="preserve">Commodity: WOOD CHEW TOYS
1X20GP/7800KGS/300CTNS/CRD:3rd.Apr/FOB </t>
  </si>
  <si>
    <t>Commodity: TIRES
1X40HQ/68CBM/10000KGS/CRD:25th.Mar/FOB Qingdao to Gdansk</t>
  </si>
  <si>
    <t xml:space="preserve">LCGU8060561 </t>
  </si>
  <si>
    <t>ZL190/02/24 (EUR) + ZL228/03/24 (PLN) + ZL229/03/24 (USD)</t>
  </si>
  <si>
    <t>MSKU0223442</t>
  </si>
  <si>
    <t>MSMU4004865</t>
  </si>
  <si>
    <t>[RS19/3]  SZSE24032616</t>
  </si>
  <si>
    <t>Commodity: AUTO PARTS
1X20GP/28.01CBM/11374.32KGS/781CTNS/CRD:25th.Mar/FOB Ningbo to Gdansk</t>
  </si>
  <si>
    <t>USD1625/20GP.</t>
  </si>
  <si>
    <t>ZL158/02/24</t>
  </si>
  <si>
    <t>ZL077/01/24 (USD) + ZL230/03/24 (EUR) + ZL231/03/24 (PLN)</t>
  </si>
  <si>
    <t>O/F: USD1650/20GP via MSK
ETD: 2nd.Apr with SI cut off date 29th.Mar
ETA: 17th.May
T/T: 45 Days
EXW Cost: USD890/20GP</t>
  </si>
  <si>
    <t xml:space="preserve">EXW Cost: USD1025/20GP
 O/F: USD2950/20GP via CMA 
THC 205 EUR
DOC 55 EUR
ISPS 25 EUR
ODPRAWA 220 PLN 
Transport 20 DV do 10 ton: 2300 PLN
Transport 20 DV do 21 ton : 2700 PLN
( GDN - Podciernie 21 05-319 Cegłów)  </t>
  </si>
  <si>
    <t>RO: 0170693 SIN/GDN/01790</t>
  </si>
  <si>
    <t>Friendly 0175975</t>
  </si>
  <si>
    <t>Enigma 33a</t>
  </si>
  <si>
    <t>ZL123/01/24 (USD) + ZL235/03/24 (EUR) + ZL236/03/24 (PLN)</t>
  </si>
  <si>
    <t xml:space="preserve">EXW TAIWAN: 500 USD 
PALETYZACJA 150 USD per paleta
OFR KAOHSIUNG – GDAŃSK : 110 USD WM *2,496 CBM = 274,56 USD
THC 25 USD WM *2,496CBM= 62,40 USD
DOC 25 USD 
ODPRAWA 250 PLN
TRANSPORT GDN – WAW: 550 PLN                           
TOTAL : 1011,96 USD + 800 PLN  // do tego dorzucić jeszcze te 150 USD za lotnika ? </t>
  </si>
  <si>
    <t>Chengdu</t>
  </si>
  <si>
    <t>Małaszewice</t>
  </si>
  <si>
    <t>995 USD ( EXW + FRACHT KOLEJOWY) + 1400 PLN ( ODPRAWA + TRANSPORT DROGOWY)</t>
  </si>
  <si>
    <t>740 USD</t>
  </si>
  <si>
    <t>MSKU5908655</t>
  </si>
  <si>
    <t>ZL234/03/24</t>
  </si>
  <si>
    <t>ZL195/03/24</t>
  </si>
  <si>
    <t>40HC + 20DV</t>
  </si>
  <si>
    <t>ZL192/03/24</t>
  </si>
  <si>
    <t xml:space="preserve">RO: 0173293 JEA/GDN/00031 </t>
  </si>
  <si>
    <t>HASU4404835</t>
  </si>
  <si>
    <t>Commodity: EMPTY CYLINDERS 
2X20GP/58.8CBM/48520KGS/4384PKGS/Stuffing date:28th.Mar/FOB Ningbo to Gdansk</t>
  </si>
  <si>
    <t>OFR NINGBO – GDAŃSK 20DV : 1875 USD per container
THC 205 EUR per container
DOC 55 EUR per container
ISPS 25 EUR per container 
TRANSPORT GDN &gt; BYTOM 20DV ( 24,5) : 3125 PLN per container</t>
  </si>
  <si>
    <t>RO: 0166481 SYD/HKG/0068206 BNE/HKG/03844</t>
  </si>
  <si>
    <t>MSMU8776620</t>
  </si>
  <si>
    <t>VANSTRON Automation Co.Ltd.</t>
  </si>
  <si>
    <t>Commodity:
Bare boards Destacker
Vertical Buffer
500mm linking conveyor
1X40HQ/19.8CBM/2375KGS/CRD:29th.Mar/EXW Baoan to Gdansk via Yantian</t>
  </si>
  <si>
    <t xml:space="preserve">EXW Cost: USD1100/40HQ
O/F: USD3100/40HQ
THC 205 EUR
DOC 55 EUR
ISPS 25 EUR
ODPRAWA 250 PLN 
TRANSPORT GDN &gt; KWIDZYŃ: 1600 PLN </t>
  </si>
  <si>
    <t>USD2600/40HQ+EXW Cost:USD690/40HQ.</t>
  </si>
  <si>
    <t>RO: 0174462 TXG/GDY/2403217</t>
  </si>
  <si>
    <t xml:space="preserve">[RS21/3] SZSE24032809 237840948 </t>
  </si>
  <si>
    <t xml:space="preserve">[RS20/3] SZSE24032819 237884196 </t>
  </si>
  <si>
    <t xml:space="preserve">RAIL [RS22/3] </t>
  </si>
  <si>
    <t>ELPROMET RADOSLAW KACZMARCZYK</t>
  </si>
  <si>
    <t>ZHEJIANG ACCEL TECHNOLOGY CO., LTD.
NR. 204-206, BLDG 9, KAITAI AUTO CENTER, #18 TONGQU RD, QUZHOU, ZHEJIANG CHINA
OSOBA KONTAKTOWA: ZOE, TEL. 0086570 8880109, e-mail: zoe.zhan@accel.cc</t>
  </si>
  <si>
    <t>FWRU0237750</t>
  </si>
  <si>
    <t>Commodity: CABLE TIE
1X20GP/28.09CBM/8978KGS/458CTNS/CRD:4th.Apr/FOB Ningbo to Gdansk</t>
  </si>
  <si>
    <t>USD1625/20GP</t>
  </si>
  <si>
    <t xml:space="preserve">OFR NINGBO – GDAŃSK 20DV: 1700 USD 
THC 205 EUR
DOC 55 EUR
ISPS 25 EUR
TRANSPORT 1900 PLN
TOTAL : 2485 USD </t>
  </si>
  <si>
    <t>LOTNIK PILNE</t>
  </si>
  <si>
    <t>ZL005/04/24</t>
  </si>
  <si>
    <t>ZL243/03/24</t>
  </si>
  <si>
    <t>TLX PFC01649/2024/MRY</t>
  </si>
  <si>
    <t xml:space="preserve">EXW Shanghai: 380 USD
OFR SHNAGHAI – GDANSK : 90 USD WM *3,2 CBM = 288 USD 
THC 20 USD WM * 3,2CBM = 64 USD 
DOC 30 USD
ODPRAWA 250 PLN 
TRANSPORT GDN &gt; Podciernie 21 05-319 Cegłów: 850 PLN 
TOTAL : 762 USD + 1100 PLN </t>
  </si>
  <si>
    <t>PFC05103</t>
  </si>
  <si>
    <t>OFR NINGBO – GDAŃSK 66 USD WM 
THC 17 USD WM 
DOC 25 USD</t>
  </si>
  <si>
    <t>FFAU3093062</t>
  </si>
  <si>
    <t>O/F: USD1700/20GP via MSC</t>
  </si>
  <si>
    <t xml:space="preserve">OFR SHANGHAI – GDAŃSK : 1825 USD/ 20DV per container
THC 205 EUR per container
DOC 55 EUR per container
ISPS 25 EUR per container
ODPRAWA 250 PLN
TRANSPORT GDN &gt; WIELUŃ 98-300; 3400PLN ( 20DV - 25 TON ) </t>
  </si>
  <si>
    <t>ZL012/04/24</t>
  </si>
  <si>
    <t xml:space="preserve">Shipper/Yiwu Sili Import And Export Co., Ltd.                             </t>
  </si>
  <si>
    <t>Routing: PVG-PEK-FRA-WAW / TT 4-5 dni
Koszty EXW Chiny – 350 USD
Fracht do WAW – 2426 USD
Koszty w PL – 1500 PLN
Licencja eksportowa 130 USD</t>
  </si>
  <si>
    <t>Commodity: Dumbells
2X20GP/61.13CBM/50996.95KGS/2185PKGS/CRD:Ready/FOB Xingang to Gdansk</t>
  </si>
  <si>
    <t>O/F: USD2900/20GP via MSK // 2800 usd  OWS has included
THC 210 EUR per container / 200 eur 
DOC 55 EUR per container / 55 total 
ISPS 25 EUR per container
TRANSPORT GDN &gt; KRAKÓW 20 DV DROGOWY: per container
Do 10t – 3400pln
Do 21t – 3700pln 
TRANSPORT GDN &gt; KRAKÓW 20 DV KOLEJ : 3600 PLN per container</t>
  </si>
  <si>
    <t>AMCU9420434</t>
  </si>
  <si>
    <t>Busan</t>
  </si>
  <si>
    <t>R3964574</t>
  </si>
  <si>
    <t>RO: 177720</t>
  </si>
  <si>
    <t xml:space="preserve">OFR BUSAN – GDAŃSK 65 USD WM * 2,7 = 183,60 USD 
THC 20 USD WM *2,7 = 54 USD 
DOC 25 USDdok 
TRANSPORT GDN &gt; PŁOCK : 1200 PLN 
TOTAL : 262,60 USD + 1420 PLN </t>
  </si>
  <si>
    <t>ZL015/04/24</t>
  </si>
  <si>
    <t xml:space="preserve">OFR XINGANG/ TIANJIN - GDANSK 40HC : 2400 USD per container
THC 205 EUR per container
DOC 55 EUR per container
ISPS 25 EUR per container 
ODPRAWA 250 PLN per B/L
TRANSPORT 20DV/40HC : 1900 PLN per container
 INSURANCE: 270 PLN
TOTAL : 40HC : 3265 USD </t>
  </si>
  <si>
    <t>TAK 013</t>
  </si>
  <si>
    <t>O/F: USD2400// 20GP via MSK
THC 205 EUR
DOC 55 EUR
ISPS 25 EUR
T1 200 PLN
INSURANCE: 350 PLN
TRANSPORT 32-500 CHRZANÓW : 3600 PLN + BAF 4%</t>
  </si>
  <si>
    <t>INSURANCE: 285</t>
  </si>
  <si>
    <t>WENZHOU SHENGYI IMP&amp;EXP CO.,LTD. (A)</t>
  </si>
  <si>
    <t>EXW Shanghai: 280 USD</t>
  </si>
  <si>
    <t>ZL007/04/24</t>
  </si>
  <si>
    <t xml:space="preserve">EXW  Rockford, IL 61104 : 575 USD
OFR CHICAGO - GDYNIA : 98 USD WM * 2,257 CBM = 221,18 USD 
THC 35 USD WM*2,257 CBM =78,99 USD
DOC 25 USD 
ODPRAWA 250 PLN 
TRANSPORT GDN &gt; BILCZA :650 PLN </t>
  </si>
  <si>
    <t>AC Klienta Rusak</t>
  </si>
  <si>
    <t>Faktura w USD do każdego kontenera osobno xD</t>
  </si>
  <si>
    <t>(puste)</t>
  </si>
  <si>
    <t xml:space="preserve">[RS18/3] SZSE24032516 238110558 </t>
  </si>
  <si>
    <t>MSK</t>
  </si>
  <si>
    <t>[RS2/4] SZSE24040310 238113641</t>
  </si>
  <si>
    <t xml:space="preserve">[RS1/4] SZSE24040201 238162423 </t>
  </si>
  <si>
    <t>MSKU2825562</t>
  </si>
  <si>
    <t>Adres dostawy</t>
  </si>
  <si>
    <t xml:space="preserve">Dzień dobry, 
Informujemy o awizacji przybycia do Gdańska tytułowej przesyłki
ETA Gdańsk:
Rozformowanie:
Załadowca:
Wymiary przesyłki:
Czas wolny od składowych wynosi 5 dni kalendarzowych. Po tym czasie magazyn nalicza opłaty za składowanie towaru 
</t>
  </si>
  <si>
    <t>MRKU6569723</t>
  </si>
  <si>
    <t>[RS12/3] SZSE24031202 236608228</t>
  </si>
  <si>
    <t>SMLCD24040628 Płatna waga 5,6</t>
  </si>
  <si>
    <t>HNKU6090213</t>
  </si>
  <si>
    <t xml:space="preserve">PFC05622 </t>
  </si>
  <si>
    <t xml:space="preserve">[RS3/4] SZSE24040913  238201163 </t>
  </si>
  <si>
    <t>14750KGS	27.9CBM</t>
  </si>
  <si>
    <t>MEDU4240213</t>
  </si>
  <si>
    <t>ZHEJIANG NEW SORL AUTO PARTS CO.,LTD</t>
  </si>
  <si>
    <t>Commodity: AUTO PARTS
1X20GP/28.03CBM/12000KGS/634CTNS/CRD:12th.Apr/FOB Ningbo to Gdansk</t>
  </si>
  <si>
    <t xml:space="preserve">[RS4/4] SZSE24040926 238202425 </t>
  </si>
  <si>
    <t>ZL010/04/24</t>
  </si>
  <si>
    <t>PFC05721</t>
  </si>
  <si>
    <t>3x20DV</t>
  </si>
  <si>
    <t xml:space="preserve">RAIL 33 cartons SMLXA24042044 </t>
  </si>
  <si>
    <t>TAK 014</t>
  </si>
  <si>
    <t>EXW CHARGES: USD 495
Rail rate: USD 155 /CBM * 15,5CBM = 2402,50 USD
Odprawa 300 PLN 
Dostawa Radomsko: 1950 PLN</t>
  </si>
  <si>
    <t>ZL035/04/24</t>
  </si>
  <si>
    <t>ZL034/04/24</t>
  </si>
  <si>
    <t>EXW: 295 USD
OFR SHENZHEN - GDAŃSK 70 USD WM * 1,85 CBM = 129,50 USD 
THC 15 USD WM * 1,85 CBM =27,75 USD 
DOC 25 USD TRANSPORT GDN &gt; POZNAŃ : 400 PLN ( 100 USD)
TOTAL : 577,25 USD</t>
  </si>
  <si>
    <t xml:space="preserve">Nihon </t>
  </si>
  <si>
    <t>[RS5/4] 40HC from CARPET to PLATINUM</t>
  </si>
  <si>
    <t>Commodity: Carpet
1X40HQ/68CBM/11000KGS/500CTNS/CRD:10 Days later/EXW Wuqing to Gdansk via Xingang port</t>
  </si>
  <si>
    <t>Tianjin Maya Carpet Co., LTD.</t>
  </si>
  <si>
    <t>USD2670/40HQ+EXW cost: USD820/40HQ.</t>
  </si>
  <si>
    <t>EXW: 1050 USD 
OFR XINGANG - GDANSK 40HC: 2900 USD 
THC: 290 USD
ODPRAWA: 70 USD 
TRANSPORT POZNAN 2500 PLN</t>
  </si>
  <si>
    <t>EXW: 270 USD
55USD WM
20USD DOC
10USD WM</t>
  </si>
  <si>
    <t>ZL040/04/24</t>
  </si>
  <si>
    <t>MSKU2744368</t>
  </si>
  <si>
    <t>HASU1406182 - 16 450 kg
MRKU7596220 - 16 380 kg
TEMU3597282 - 11 270 kg</t>
  </si>
  <si>
    <t>Commodity: BED
1X40HQ/68CBM/10000KGS/330CTNS/CRD:23rd.Apr/FOB Xingang to Gdansk</t>
  </si>
  <si>
    <t xml:space="preserve">LANGFANG LIUTAI FURNITURE CO.,LTD.
LIUTAIMATTRESS lisa@liutaimattress.com </t>
  </si>
  <si>
    <t xml:space="preserve">OFR NINGBO – GDANSK : 60 USD WM *12,66 CBM = 759,60 USD 
THC 20 USD WM *12,66CBM  = 253,20 USD 
DOC 25 USD 
ODPRAWA 220 PLN
TRANSPORT GDN &gt; BYDGOSZCZ: 1300 PLN 
TOTAL : 1037,80 USD + 1520 PLN </t>
  </si>
  <si>
    <t>EXW: 825 USD
SZX---WAW    +500kg 
1:200 net/net airfrieght:usd5.85/kg  by CA   ( szx--pek--fra--waw) -&gt; 3978 USD // TT 5-7 DNI 
Lokalne w WAW:
Autko 600 PLN
Odprawa ostateczna w naszej AC 250 PLN</t>
  </si>
  <si>
    <t xml:space="preserve">OFR SHANGHAI – GDAŃSK 20DV :  1750 USD 
THC 205 EUR
DOC 55 EUR
ISPS 25 EUR
TRANSPORT GDN &gt; BYTOM 20DV : 2950 PLN </t>
  </si>
  <si>
    <t>PFC06335</t>
  </si>
  <si>
    <t>OFR 53 USD WM</t>
  </si>
  <si>
    <t>ZL046/04/24</t>
  </si>
  <si>
    <t>ZL047/04/24</t>
  </si>
  <si>
    <t>Commodity</t>
  </si>
  <si>
    <t>Profit</t>
  </si>
  <si>
    <t>Agency</t>
  </si>
  <si>
    <t>Agency Contact</t>
  </si>
  <si>
    <t>Type of Customs Clearance</t>
  </si>
  <si>
    <t>PIN</t>
  </si>
  <si>
    <t>Finish</t>
  </si>
  <si>
    <t>(Wiele elementów)</t>
  </si>
  <si>
    <t xml:space="preserve">33a </t>
  </si>
  <si>
    <t>Status Customs Clearance</t>
  </si>
  <si>
    <t>In progress</t>
  </si>
  <si>
    <t>Finished</t>
  </si>
  <si>
    <t>Inspection</t>
  </si>
  <si>
    <t>Checking</t>
  </si>
  <si>
    <t>Lack of docs</t>
  </si>
  <si>
    <t>test@test.com</t>
  </si>
  <si>
    <t>33a Enigma</t>
  </si>
  <si>
    <t>CHANGZHOU LONGREN MECHANICAL &amp; ELECTRICAL CO. LTD.(Main shipper)
Longren + Nantong + Pujiang</t>
  </si>
  <si>
    <t>Commodity: WELDING PARTS 
1X20GP/18.3CBM/5870KGS/408PKGS/CRD:Ready/FOB Shanghai to Gdansk</t>
  </si>
  <si>
    <t xml:space="preserve">[RS7/4] SZSE24041502 238201338 </t>
  </si>
  <si>
    <t>PFC06340</t>
  </si>
  <si>
    <t>26-026 BILCZA ul. Żeromskiego 37
Auto typu "solówka" koniecznie z windą do rozładunku.</t>
  </si>
  <si>
    <t xml:space="preserve">CHIMALL ELECTRONIC TECHNOLOGY CO.,LIMITED  </t>
  </si>
  <si>
    <t>Perun Sylwia Reiss</t>
  </si>
  <si>
    <t>NELAR NATALIA MISZTAL 
RUDA HUTA 22-110 
NIP: 5632342944</t>
  </si>
  <si>
    <t>SHENZHEN BELONG TECHNOLOGY LIMITED</t>
  </si>
  <si>
    <t>Agencja ??</t>
  </si>
  <si>
    <t>Warehouse/port</t>
  </si>
  <si>
    <t>Rusak</t>
  </si>
  <si>
    <t>Baltic HUB</t>
  </si>
  <si>
    <t>Ostateczna</t>
  </si>
  <si>
    <t>NYKU8049346</t>
  </si>
  <si>
    <t>Import/Export</t>
  </si>
  <si>
    <t>Containers</t>
  </si>
  <si>
    <t>ADD NEW ORDER FORM</t>
  </si>
  <si>
    <t>(Wszystko)</t>
  </si>
  <si>
    <t/>
  </si>
  <si>
    <t>Wybierz klienta:</t>
  </si>
  <si>
    <t>Year</t>
  </si>
  <si>
    <t>Month</t>
  </si>
  <si>
    <t>Total Profit</t>
  </si>
  <si>
    <t>No orders</t>
  </si>
  <si>
    <t>Choose customer:</t>
  </si>
  <si>
    <t>Choose customer</t>
  </si>
  <si>
    <t>Total profit [PLN]</t>
  </si>
  <si>
    <t>Adranka</t>
  </si>
  <si>
    <t>Mkalam</t>
  </si>
  <si>
    <t>Agball</t>
  </si>
  <si>
    <t>Mkalam SECURITY SP. Z O.O. SP. K</t>
  </si>
  <si>
    <t>Agball Tomasz Woźniak Sp. K.</t>
  </si>
  <si>
    <t>[RS4/3] SZSE24030406 1x40HC NINGBO - GDAŃSK / S:SKYLARK /C:Agball</t>
  </si>
  <si>
    <t>APPLIG</t>
  </si>
  <si>
    <t>Asolemp</t>
  </si>
  <si>
    <t xml:space="preserve">APPLIG AWB 176-95065342 </t>
  </si>
  <si>
    <t>B2D</t>
  </si>
  <si>
    <t>Baatis</t>
  </si>
  <si>
    <t xml:space="preserve">B2D Marcin </t>
  </si>
  <si>
    <t>Baatis S.A.</t>
  </si>
  <si>
    <t>Cukrowita</t>
  </si>
  <si>
    <t>Decoratorniapl</t>
  </si>
  <si>
    <t>ANITA MICHALCZYK Decoratorniapl</t>
  </si>
  <si>
    <t>Emlole</t>
  </si>
  <si>
    <t>Loksfop</t>
  </si>
  <si>
    <t>Loksfop Jacek Lisinski</t>
  </si>
  <si>
    <t>Loksfop JACEK LISINSKI
UL.STRUMYKOWA 3,87-400 GOLUB-DOBRZYN,POLAND
PL8781718072</t>
  </si>
  <si>
    <t>[RS17/3] / SZSE24032514 / 237492128C   S:EVERGREAT INDUSTRIES /C:Loksfop</t>
  </si>
  <si>
    <t xml:space="preserve">CHARDRE SYSTEM </t>
  </si>
  <si>
    <t xml:space="preserve">iCOP </t>
  </si>
  <si>
    <t>Itike</t>
  </si>
  <si>
    <t>JCWE</t>
  </si>
  <si>
    <t>JS Firma</t>
  </si>
  <si>
    <t>Klusart</t>
  </si>
  <si>
    <t>Kewkse</t>
  </si>
  <si>
    <t>PFC02133 PO CNY</t>
  </si>
  <si>
    <t>Larack</t>
  </si>
  <si>
    <t>Mawajski</t>
  </si>
  <si>
    <t>Meblowy Cud</t>
  </si>
  <si>
    <t>MKF</t>
  </si>
  <si>
    <t>MKM Fropil</t>
  </si>
  <si>
    <t>Nensell</t>
  </si>
  <si>
    <t>NTT</t>
  </si>
  <si>
    <t>[RS10/3] SZSE24030703 RAIL cargo for Nensell</t>
  </si>
  <si>
    <t xml:space="preserve">Nensell KACPER ŻEBROWSKI </t>
  </si>
  <si>
    <t>RAIL cargo for Nensell/Oferta EXW 40'hc kolej</t>
  </si>
  <si>
    <t>LCL RAIL for Nensell/S:YONGKANG NIHAO INDUSTRY AND TRADE CO.,LTD YONGKANG CITY ZHEJIANG CHINA//Tel: +86 13566751386 //15,5CBM -4000KG//</t>
  </si>
  <si>
    <t>Omega</t>
  </si>
  <si>
    <t>PUH POL</t>
  </si>
  <si>
    <t>OMEGA</t>
  </si>
  <si>
    <t>#ARG!</t>
  </si>
  <si>
    <t>Propertinium Poland</t>
  </si>
  <si>
    <t>Serwis</t>
  </si>
  <si>
    <t>SSK</t>
  </si>
  <si>
    <t>Tedlew</t>
  </si>
  <si>
    <t>Ucllinium</t>
  </si>
  <si>
    <t>PHUP</t>
  </si>
  <si>
    <t>NOTLAD</t>
  </si>
  <si>
    <t>MASZYNY</t>
  </si>
  <si>
    <t>MEMVIS</t>
  </si>
  <si>
    <t>Propertinium Poland sp. z o. o.</t>
  </si>
  <si>
    <t>SERWIS</t>
  </si>
  <si>
    <t>SSK AK KOLMAN SP.J.</t>
  </si>
  <si>
    <t>Ucllinium INTERNATIONAL SP. Z O.O.</t>
  </si>
  <si>
    <t>VICT</t>
  </si>
  <si>
    <t>VICT SP. Z O. O</t>
  </si>
  <si>
    <t xml:space="preserve">[RS6/4] 40HC /S:LIUTAIMATTRESS /C:VICT </t>
  </si>
  <si>
    <t>GLASS</t>
  </si>
  <si>
    <t>PSP</t>
  </si>
  <si>
    <t>Sylvia</t>
  </si>
  <si>
    <t>Eltormet</t>
  </si>
  <si>
    <t>Firma</t>
  </si>
  <si>
    <t xml:space="preserve">P.H.U.P. </t>
  </si>
  <si>
    <t>Mawejski</t>
  </si>
  <si>
    <t>Total:</t>
  </si>
  <si>
    <t>Number of Orders</t>
  </si>
  <si>
    <t>Status of Order</t>
  </si>
  <si>
    <t>Statistics divided into FCL/LCL</t>
  </si>
  <si>
    <t>Total Profit [PLN]</t>
  </si>
  <si>
    <t>Total</t>
  </si>
  <si>
    <t>Customer Name</t>
  </si>
  <si>
    <t xml:space="preserve">Average order profitability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</si>
</sst>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238"/>
      <scheme val="minor"/>
    </font>
    <font>
      <sz val="11"/>
      <color theme="4" tint="0.3999755851924192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8"/>
      <name val="Calibri"/>
      <family val="2"/>
      <charset val="238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charset val="238"/>
      <scheme val="minor"/>
    </font>
    <font>
      <sz val="11"/>
      <color rgb="FF7030A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2"/>
      <color rgb="FF000000"/>
      <name val="Times New Roman"/>
      <family val="1"/>
      <charset val="238"/>
    </font>
    <font>
      <sz val="11"/>
      <color theme="2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8"/>
      <color theme="0" tint="-4.9989318521683403E-2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5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 vertical="center" wrapText="1"/>
    </xf>
    <xf numFmtId="16" fontId="0" fillId="0" borderId="0" xfId="0" applyNumberFormat="1"/>
    <xf numFmtId="0" fontId="0" fillId="0" borderId="0" xfId="0" quotePrefix="1"/>
    <xf numFmtId="0" fontId="0" fillId="0" borderId="0" xfId="0" applyAlignment="1">
      <alignment vertical="top" wrapText="1"/>
    </xf>
    <xf numFmtId="2" fontId="0" fillId="0" borderId="0" xfId="0" applyNumberFormat="1"/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9" fillId="0" borderId="0" xfId="0" applyFont="1" applyAlignment="1">
      <alignment vertical="center"/>
    </xf>
    <xf numFmtId="0" fontId="10" fillId="0" borderId="0" xfId="0" applyFont="1"/>
    <xf numFmtId="0" fontId="7" fillId="0" borderId="0" xfId="1"/>
    <xf numFmtId="0" fontId="0" fillId="0" borderId="0" xfId="0" applyAlignment="1">
      <alignment vertical="center" wrapText="1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7" fillId="0" borderId="0" xfId="1" applyAlignment="1">
      <alignment wrapText="1"/>
    </xf>
    <xf numFmtId="0" fontId="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4" fontId="1" fillId="2" borderId="0" xfId="0" applyNumberFormat="1" applyFont="1" applyFill="1"/>
    <xf numFmtId="14" fontId="0" fillId="0" borderId="0" xfId="0" applyNumberFormat="1"/>
    <xf numFmtId="14" fontId="8" fillId="0" borderId="0" xfId="0" applyNumberFormat="1" applyFont="1"/>
    <xf numFmtId="0" fontId="0" fillId="0" borderId="0" xfId="0" pivotButton="1" applyAlignment="1">
      <alignment vertical="center" wrapText="1"/>
    </xf>
    <xf numFmtId="2" fontId="0" fillId="0" borderId="0" xfId="0" applyNumberFormat="1" applyAlignment="1">
      <alignment vertical="center"/>
    </xf>
    <xf numFmtId="1" fontId="0" fillId="0" borderId="0" xfId="0" applyNumberFormat="1"/>
    <xf numFmtId="1" fontId="0" fillId="0" borderId="0" xfId="0" applyNumberFormat="1" applyAlignment="1">
      <alignment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5" xfId="0" applyBorder="1"/>
    <xf numFmtId="0" fontId="0" fillId="4" borderId="5" xfId="0" applyFill="1" applyBorder="1"/>
    <xf numFmtId="0" fontId="0" fillId="4" borderId="0" xfId="0" applyFill="1"/>
    <xf numFmtId="0" fontId="0" fillId="4" borderId="6" xfId="0" applyFill="1" applyBorder="1"/>
    <xf numFmtId="0" fontId="14" fillId="4" borderId="0" xfId="0" applyFont="1" applyFill="1" applyAlignment="1">
      <alignment horizontal="center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4" borderId="0" xfId="0" applyFill="1" applyAlignment="1">
      <alignment vertical="top"/>
    </xf>
    <xf numFmtId="0" fontId="14" fillId="4" borderId="0" xfId="0" applyFont="1" applyFill="1" applyAlignment="1">
      <alignment horizontal="center" vertical="center"/>
    </xf>
    <xf numFmtId="0" fontId="0" fillId="3" borderId="10" xfId="0" applyFill="1" applyBorder="1"/>
    <xf numFmtId="2" fontId="0" fillId="3" borderId="10" xfId="0" applyNumberFormat="1" applyFill="1" applyBorder="1" applyAlignment="1">
      <alignment horizontal="left"/>
    </xf>
    <xf numFmtId="0" fontId="0" fillId="3" borderId="10" xfId="0" applyFill="1" applyBorder="1" applyAlignment="1">
      <alignment vertical="top" wrapText="1"/>
    </xf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0" borderId="0" xfId="0" pivotButton="1" applyAlignment="1">
      <alignment wrapText="1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0" fillId="0" borderId="0" xfId="0" applyNumberFormat="1"/>
    <xf numFmtId="0" fontId="0" fillId="3" borderId="0" xfId="0" applyNumberFormat="1" applyFill="1"/>
    <xf numFmtId="0" fontId="0" fillId="3" borderId="0" xfId="0" applyNumberFormat="1" applyFill="1" applyAlignment="1">
      <alignment horizontal="center"/>
    </xf>
  </cellXfs>
  <cellStyles count="2">
    <cellStyle name="Hiperłącze" xfId="1" builtinId="8"/>
    <cellStyle name="Normalny" xfId="0" builtinId="0"/>
  </cellStyles>
  <dxfs count="132"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wrapText="1"/>
    </dxf>
    <dxf>
      <alignment vertical="center"/>
    </dxf>
    <dxf>
      <alignment vertical="center"/>
    </dxf>
    <dxf>
      <alignment wrapText="1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vertical="center"/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wrapText="1"/>
    </dxf>
    <dxf>
      <alignment vertical="center"/>
    </dxf>
    <dxf>
      <alignment vertical="center"/>
    </dxf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ont>
        <color auto="1"/>
      </font>
      <fill>
        <patternFill patternType="solid">
          <bgColor theme="0"/>
        </patternFill>
      </fill>
    </dxf>
    <dxf>
      <fill>
        <patternFill>
          <bgColor theme="6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15D2F"/>
        </patternFill>
      </fill>
    </dxf>
    <dxf>
      <font>
        <b val="0"/>
        <i val="0"/>
        <u val="none"/>
      </font>
      <fill>
        <gradientFill degree="270">
          <stop position="0">
            <color theme="7" tint="0.40000610370189521"/>
          </stop>
          <stop position="1">
            <color theme="4"/>
          </stop>
        </gradientFill>
      </fill>
      <border>
        <top style="thin">
          <color rgb="FF7030A0"/>
        </top>
        <bottom style="thin">
          <color rgb="FF7030A0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indent="0" justifyLastLine="0" shrinkToFit="0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vertical="center"/>
    </dxf>
    <dxf>
      <alignment horizont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wrapText="1"/>
    </dxf>
    <dxf>
      <alignment vertical="center"/>
    </dxf>
    <dxf>
      <alignment vertical="center"/>
    </dxf>
    <dxf>
      <alignment wrapText="1"/>
    </dxf>
    <dxf>
      <fill>
        <patternFill patternType="solid">
          <fgColor rgb="FFBDD7EE"/>
          <bgColor rgb="FF000000"/>
        </patternFill>
      </fill>
    </dxf>
    <dxf>
      <fill>
        <patternFill patternType="solid">
          <fgColor rgb="FFE2EFDA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FCE4D6"/>
          <bgColor rgb="FF000000"/>
        </patternFill>
      </fill>
    </dxf>
    <dxf>
      <fill>
        <patternFill patternType="solid">
          <fgColor rgb="FFA5A5A5"/>
          <bgColor rgb="FF000000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numFmt numFmtId="19" formatCode="dd/mm/yyyy"/>
    </dxf>
    <dxf>
      <alignment horizontal="general" vertical="center" textRotation="0" indent="0" justifyLastLine="0" shrinkToFit="0" readingOrder="0"/>
    </dxf>
    <dxf>
      <numFmt numFmtId="2" formatCode="0.00"/>
    </dxf>
    <dxf>
      <numFmt numFmtId="2" formatCode="0.00"/>
    </dxf>
    <dxf>
      <numFmt numFmtId="1" formatCode="0"/>
    </dxf>
    <dxf>
      <fill>
        <patternFill patternType="solid">
          <fgColor rgb="FFA9D08E"/>
          <bgColor rgb="FF000000"/>
        </patternFill>
      </fill>
    </dxf>
    <dxf>
      <fill>
        <patternFill patternType="solid">
          <fgColor rgb="FF9BC2E6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BFBFBF"/>
          <bgColor rgb="FF000000"/>
        </patternFill>
      </fill>
    </dxf>
    <dxf>
      <fill>
        <patternFill patternType="solid">
          <fgColor rgb="FFF15D2F"/>
          <bgColor rgb="FF000000"/>
        </patternFill>
      </fill>
    </dxf>
  </dxfs>
  <tableStyles count="0" defaultTableStyle="TableStyleMedium2" defaultPivotStyle="PivotStyleLight16"/>
  <colors>
    <mruColors>
      <color rgb="FFF15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[Przesyłki kopia — BEZ NAZW.xlsm]Stats!Tabela przestawna6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Total profit [PLN]</a:t>
            </a:r>
            <a:endParaRPr lang="en-US"/>
          </a:p>
        </c:rich>
      </c:tx>
      <c:layout>
        <c:manualLayout>
          <c:xMode val="edge"/>
          <c:yMode val="edge"/>
          <c:x val="0.35617989065920752"/>
          <c:y val="5.33498937399094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Stats!$B$16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Stats!$A$17:$A$19</c:f>
              <c:strCache>
                <c:ptCount val="2"/>
                <c:pt idx="0">
                  <c:v>FCL</c:v>
                </c:pt>
                <c:pt idx="1">
                  <c:v>LCL</c:v>
                </c:pt>
              </c:strCache>
            </c:strRef>
          </c:cat>
          <c:val>
            <c:numRef>
              <c:f>Stats!$B$17:$B$19</c:f>
              <c:numCache>
                <c:formatCode>General</c:formatCode>
                <c:ptCount val="2"/>
                <c:pt idx="0">
                  <c:v>189031.05999999997</c:v>
                </c:pt>
                <c:pt idx="1">
                  <c:v>75930.070000000007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9-4F21-A160-EED19E0B2B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78997343"/>
        <c:axId val="1373668287"/>
      </c:barChart>
      <c:catAx>
        <c:axId val="878997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73668287"/>
        <c:crosses val="autoZero"/>
        <c:auto val="1"/>
        <c:lblAlgn val="ctr"/>
        <c:lblOffset val="100"/>
        <c:noMultiLvlLbl val="0"/>
      </c:catAx>
      <c:valAx>
        <c:axId val="1373668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78997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[Przesyłki kopia — BEZ NAZW.xlsm]Stats!Tabela przestawna7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Average order profitability - top 20 clients</a:t>
            </a:r>
            <a:endParaRPr lang="en-US"/>
          </a:p>
        </c:rich>
      </c:tx>
      <c:layout>
        <c:manualLayout>
          <c:xMode val="edge"/>
          <c:yMode val="edge"/>
          <c:x val="0.2446549076677601"/>
          <c:y val="3.66865675403973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108619192253619"/>
          <c:y val="0.13281280731381445"/>
          <c:w val="0.79281861933620268"/>
          <c:h val="0.7977812366477445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Stats!$B$32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Stats!$A$33:$A$53</c:f>
              <c:strCache>
                <c:ptCount val="20"/>
                <c:pt idx="0">
                  <c:v>NTT</c:v>
                </c:pt>
                <c:pt idx="1">
                  <c:v>B2D</c:v>
                </c:pt>
                <c:pt idx="2">
                  <c:v>Loksfop</c:v>
                </c:pt>
                <c:pt idx="3">
                  <c:v>Propertinium Poland</c:v>
                </c:pt>
                <c:pt idx="4">
                  <c:v>Nensell</c:v>
                </c:pt>
                <c:pt idx="5">
                  <c:v>Decoratorniapl</c:v>
                </c:pt>
                <c:pt idx="6">
                  <c:v>PHUP</c:v>
                </c:pt>
                <c:pt idx="7">
                  <c:v>APPLIG</c:v>
                </c:pt>
                <c:pt idx="8">
                  <c:v>Klusart</c:v>
                </c:pt>
                <c:pt idx="9">
                  <c:v>Asolemp</c:v>
                </c:pt>
                <c:pt idx="10">
                  <c:v>MKM Fropil</c:v>
                </c:pt>
                <c:pt idx="11">
                  <c:v>VICT</c:v>
                </c:pt>
                <c:pt idx="12">
                  <c:v>MASZYNY</c:v>
                </c:pt>
                <c:pt idx="13">
                  <c:v>CHARDRE SYSTEM </c:v>
                </c:pt>
                <c:pt idx="14">
                  <c:v>Agball</c:v>
                </c:pt>
                <c:pt idx="15">
                  <c:v>Tedlew</c:v>
                </c:pt>
                <c:pt idx="16">
                  <c:v>Kewkse</c:v>
                </c:pt>
                <c:pt idx="17">
                  <c:v>Mawajski</c:v>
                </c:pt>
                <c:pt idx="18">
                  <c:v>SERWIS</c:v>
                </c:pt>
                <c:pt idx="19">
                  <c:v>NOTLAD</c:v>
                </c:pt>
              </c:strCache>
            </c:strRef>
          </c:cat>
          <c:val>
            <c:numRef>
              <c:f>Stats!$B$33:$B$53</c:f>
              <c:numCache>
                <c:formatCode>0.00</c:formatCode>
                <c:ptCount val="20"/>
                <c:pt idx="0">
                  <c:v>4417.875</c:v>
                </c:pt>
                <c:pt idx="1">
                  <c:v>4405.29</c:v>
                </c:pt>
                <c:pt idx="2">
                  <c:v>4061.1680000000001</c:v>
                </c:pt>
                <c:pt idx="3">
                  <c:v>3536.4754545454543</c:v>
                </c:pt>
                <c:pt idx="4">
                  <c:v>3334.3999999999996</c:v>
                </c:pt>
                <c:pt idx="5">
                  <c:v>3257.9700000000003</c:v>
                </c:pt>
                <c:pt idx="6">
                  <c:v>2889.19</c:v>
                </c:pt>
                <c:pt idx="7">
                  <c:v>2672.91</c:v>
                </c:pt>
                <c:pt idx="8">
                  <c:v>2499.6999999999998</c:v>
                </c:pt>
                <c:pt idx="9">
                  <c:v>2445.88</c:v>
                </c:pt>
                <c:pt idx="10">
                  <c:v>2422.87</c:v>
                </c:pt>
                <c:pt idx="11">
                  <c:v>2328.92</c:v>
                </c:pt>
                <c:pt idx="12">
                  <c:v>2080.9849999999997</c:v>
                </c:pt>
                <c:pt idx="13">
                  <c:v>1938.44</c:v>
                </c:pt>
                <c:pt idx="14">
                  <c:v>1922.0525</c:v>
                </c:pt>
                <c:pt idx="15">
                  <c:v>1906.5910526315788</c:v>
                </c:pt>
                <c:pt idx="16">
                  <c:v>1781.78</c:v>
                </c:pt>
                <c:pt idx="17">
                  <c:v>1714.7175</c:v>
                </c:pt>
                <c:pt idx="18">
                  <c:v>1694.85</c:v>
                </c:pt>
                <c:pt idx="19">
                  <c:v>1688.1475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1-4067-9CAE-6809A4A784E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41357247"/>
        <c:axId val="841344287"/>
      </c:barChart>
      <c:catAx>
        <c:axId val="841357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41344287"/>
        <c:crosses val="autoZero"/>
        <c:auto val="1"/>
        <c:lblAlgn val="ctr"/>
        <c:lblOffset val="100"/>
        <c:noMultiLvlLbl val="0"/>
      </c:catAx>
      <c:valAx>
        <c:axId val="841344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41357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[Przesyłki kopia — BEZ NAZW.xlsm]Stats for Customer!Tabela przestawna1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5">
                  <a:lumMod val="110000"/>
                  <a:satMod val="105000"/>
                  <a:tint val="67000"/>
                </a:schemeClr>
              </a:gs>
              <a:gs pos="50000">
                <a:schemeClr val="accent5">
                  <a:lumMod val="105000"/>
                  <a:satMod val="103000"/>
                  <a:tint val="73000"/>
                </a:schemeClr>
              </a:gs>
              <a:gs pos="100000">
                <a:schemeClr val="accent5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5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58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5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6000"/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5539428654039346E-2"/>
          <c:y val="7.5745339524867103E-2"/>
          <c:w val="0.73710241316922764"/>
          <c:h val="0.737283033507672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'Stats for Customer'!$B$5</c:f>
              <c:strCache>
                <c:ptCount val="1"/>
                <c:pt idx="0">
                  <c:v>Total Profit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7000"/>
                  <a:shade val="95000"/>
                </a:schemeClr>
              </a:solidFill>
              <a:round/>
            </a:ln>
            <a:effectLst/>
          </c:spPr>
          <c:invertIfNegative val="0"/>
          <c:cat>
            <c:multiLvlStrRef>
              <c:f>'Stats for Customer'!$A$6:$A$18</c:f>
              <c:multiLvlStrCache>
                <c:ptCount val="10"/>
                <c:lvl>
                  <c:pt idx="0">
                    <c:v>10</c:v>
                  </c:pt>
                  <c:pt idx="1">
                    <c:v>11</c:v>
                  </c:pt>
                  <c:pt idx="2">
                    <c:v>12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4</c:v>
                  </c:pt>
                  <c:pt idx="7">
                    <c:v>5</c:v>
                  </c:pt>
                  <c:pt idx="8">
                    <c:v>6</c:v>
                  </c:pt>
                  <c:pt idx="9">
                    <c:v>#ARG!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  <c:pt idx="9">
                    <c:v>#ARG!</c:v>
                  </c:pt>
                </c:lvl>
              </c:multiLvlStrCache>
            </c:multiLvlStrRef>
          </c:cat>
          <c:val>
            <c:numRef>
              <c:f>'Stats for Customer'!$B$6:$B$18</c:f>
              <c:numCache>
                <c:formatCode>General</c:formatCode>
                <c:ptCount val="10"/>
                <c:pt idx="0">
                  <c:v>9837.1900000000023</c:v>
                </c:pt>
                <c:pt idx="1">
                  <c:v>408.43</c:v>
                </c:pt>
                <c:pt idx="2">
                  <c:v>859.14</c:v>
                </c:pt>
                <c:pt idx="3">
                  <c:v>13109.260000000002</c:v>
                </c:pt>
                <c:pt idx="4">
                  <c:v>52255.259999999995</c:v>
                </c:pt>
                <c:pt idx="5">
                  <c:v>43111.860000000008</c:v>
                </c:pt>
                <c:pt idx="6">
                  <c:v>61112.62000000001</c:v>
                </c:pt>
                <c:pt idx="7">
                  <c:v>53449.61</c:v>
                </c:pt>
                <c:pt idx="8">
                  <c:v>4571.96</c:v>
                </c:pt>
                <c:pt idx="9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46-44E6-94FE-92FAEC10D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9842639"/>
        <c:axId val="1429840239"/>
      </c:barChart>
      <c:lineChart>
        <c:grouping val="standard"/>
        <c:varyColors val="0"/>
        <c:ser>
          <c:idx val="1"/>
          <c:order val="1"/>
          <c:tx>
            <c:strRef>
              <c:f>'Stats for Customer'!$C$5</c:f>
              <c:strCache>
                <c:ptCount val="1"/>
                <c:pt idx="0">
                  <c:v>No orders</c:v>
                </c:pt>
              </c:strCache>
            </c:strRef>
          </c:tx>
          <c:spPr>
            <a:ln w="1587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</c:spPr>
          </c:marker>
          <c:cat>
            <c:multiLvlStrRef>
              <c:f>'Stats for Customer'!$A$6:$A$18</c:f>
              <c:multiLvlStrCache>
                <c:ptCount val="10"/>
                <c:lvl>
                  <c:pt idx="0">
                    <c:v>10</c:v>
                  </c:pt>
                  <c:pt idx="1">
                    <c:v>11</c:v>
                  </c:pt>
                  <c:pt idx="2">
                    <c:v>12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4</c:v>
                  </c:pt>
                  <c:pt idx="7">
                    <c:v>5</c:v>
                  </c:pt>
                  <c:pt idx="8">
                    <c:v>6</c:v>
                  </c:pt>
                  <c:pt idx="9">
                    <c:v>#ARG!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  <c:pt idx="9">
                    <c:v>#ARG!</c:v>
                  </c:pt>
                </c:lvl>
              </c:multiLvlStrCache>
            </c:multiLvlStrRef>
          </c:cat>
          <c:val>
            <c:numRef>
              <c:f>'Stats for Customer'!$C$6:$C$18</c:f>
              <c:numCache>
                <c:formatCode>General</c:formatCode>
                <c:ptCount val="10"/>
                <c:pt idx="0">
                  <c:v>5</c:v>
                </c:pt>
                <c:pt idx="1">
                  <c:v>1</c:v>
                </c:pt>
                <c:pt idx="2">
                  <c:v>3</c:v>
                </c:pt>
                <c:pt idx="3">
                  <c:v>14</c:v>
                </c:pt>
                <c:pt idx="4">
                  <c:v>22</c:v>
                </c:pt>
                <c:pt idx="5">
                  <c:v>31</c:v>
                </c:pt>
                <c:pt idx="6">
                  <c:v>28</c:v>
                </c:pt>
                <c:pt idx="7">
                  <c:v>23</c:v>
                </c:pt>
                <c:pt idx="8">
                  <c:v>3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46-44E6-94FE-92FAEC10D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026735"/>
        <c:axId val="1733025775"/>
      </c:lineChart>
      <c:catAx>
        <c:axId val="1429842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29840239"/>
        <c:crosses val="autoZero"/>
        <c:auto val="1"/>
        <c:lblAlgn val="ctr"/>
        <c:lblOffset val="100"/>
        <c:noMultiLvlLbl val="0"/>
      </c:catAx>
      <c:valAx>
        <c:axId val="142984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200" b="0"/>
                  <a:t>Total Profit PLN</a:t>
                </a:r>
              </a:p>
            </c:rich>
          </c:tx>
          <c:layout>
            <c:manualLayout>
              <c:xMode val="edge"/>
              <c:yMode val="edge"/>
              <c:x val="1.044893464703053E-2"/>
              <c:y val="0.284481564292634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29842639"/>
        <c:crosses val="autoZero"/>
        <c:crossBetween val="between"/>
      </c:valAx>
      <c:valAx>
        <c:axId val="173302577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200"/>
                  <a:t>NUMBER OF ORDERS</a:t>
                </a:r>
              </a:p>
            </c:rich>
          </c:tx>
          <c:layout>
            <c:manualLayout>
              <c:xMode val="edge"/>
              <c:yMode val="edge"/>
              <c:x val="0.88048295402832799"/>
              <c:y val="0.335307970856673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33026735"/>
        <c:crosses val="max"/>
        <c:crossBetween val="between"/>
      </c:valAx>
      <c:catAx>
        <c:axId val="1733026735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200"/>
                  <a:t>mONTHS</a:t>
                </a:r>
                <a:endParaRPr lang="pl-PL"/>
              </a:p>
            </c:rich>
          </c:tx>
          <c:layout>
            <c:manualLayout>
              <c:xMode val="edge"/>
              <c:yMode val="edge"/>
              <c:x val="0.47454892464793075"/>
              <c:y val="0.936285938967541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crossAx val="17330257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646962933052174"/>
          <c:y val="6.9273996075934277E-2"/>
          <c:w val="0.11287293340909704"/>
          <c:h val="0.199633477767941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480060</xdr:colOff>
      <xdr:row>10</xdr:row>
      <xdr:rowOff>381000</xdr:rowOff>
    </xdr:from>
    <xdr:to>
      <xdr:col>7</xdr:col>
      <xdr:colOff>137160</xdr:colOff>
      <xdr:row>13</xdr:row>
      <xdr:rowOff>45720</xdr:rowOff>
    </xdr:to>
    <xdr:sp macro="[0]!addNewOrder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D0162BCF-6783-B919-8CA9-7A196BC79E87}"/>
            </a:ext>
          </a:extLst>
        </xdr:cNvPr>
        <xdr:cNvSpPr/>
      </xdr:nvSpPr>
      <xdr:spPr>
        <a:xfrm>
          <a:off x="4526280" y="2468880"/>
          <a:ext cx="1889760" cy="42672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/>
            <a:t>ADD NEW</a:t>
          </a:r>
          <a:r>
            <a:rPr lang="pl-PL" sz="1600" baseline="0"/>
            <a:t> ORDER</a:t>
          </a:r>
          <a:endParaRPr lang="pl-PL" sz="1050"/>
        </a:p>
      </xdr:txBody>
    </xdr:sp>
    <xdr:clientData/>
  </xdr:twoCellAnchor>
  <xdr:twoCellAnchor>
    <xdr:from>
      <xdr:col>8</xdr:col>
      <xdr:colOff>525780</xdr:colOff>
      <xdr:row>11</xdr:row>
      <xdr:rowOff>38100</xdr:rowOff>
    </xdr:from>
    <xdr:to>
      <xdr:col>10</xdr:col>
      <xdr:colOff>320040</xdr:colOff>
      <xdr:row>13</xdr:row>
      <xdr:rowOff>30480</xdr:rowOff>
    </xdr:to>
    <xdr:sp macro="[0]!wyczyscPola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D0FE1E9C-B168-49C5-8149-22FECEF6CA02}"/>
            </a:ext>
          </a:extLst>
        </xdr:cNvPr>
        <xdr:cNvSpPr/>
      </xdr:nvSpPr>
      <xdr:spPr>
        <a:xfrm>
          <a:off x="7239000" y="2522220"/>
          <a:ext cx="1257300" cy="35814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/>
            <a:t>CLEAR ALL</a:t>
          </a:r>
          <a:endParaRPr lang="pl-PL" sz="105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6722</xdr:colOff>
      <xdr:row>0</xdr:row>
      <xdr:rowOff>0</xdr:rowOff>
    </xdr:from>
    <xdr:to>
      <xdr:col>1</xdr:col>
      <xdr:colOff>201593</xdr:colOff>
      <xdr:row>2</xdr:row>
      <xdr:rowOff>44823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E/I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/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22" y="0"/>
              <a:ext cx="1180989" cy="11026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reprezentuje fragmentator tabeli. Fragmentatory tabel nie są obsługiwane w tej wersji programu Excel.
Jeśli kształt został zmodyfikowany w starszej wersji programu Excel albo skoroszyt został zapisany w programie Excel 2007 lub w starszej wersji, nie można używać fragmentatora.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188259</xdr:colOff>
      <xdr:row>0</xdr:row>
      <xdr:rowOff>7619</xdr:rowOff>
    </xdr:from>
    <xdr:to>
      <xdr:col>2</xdr:col>
      <xdr:colOff>666893</xdr:colOff>
      <xdr:row>2</xdr:row>
      <xdr:rowOff>53789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LCL/FCL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CL/FC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377" y="7619"/>
              <a:ext cx="1213740" cy="11040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reprezentuje fragmentator tabeli. Fragmentatory tabel nie są obsługiwane w tej wersji programu Excel.
Jeśli kształt został zmodyfikowany w starszej wersji programu Excel albo skoroszyt został zapisany w programie Excel 2007 lub w starszej wersji, nie można używać fragmentatora.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670788</xdr:colOff>
      <xdr:row>0</xdr:row>
      <xdr:rowOff>0</xdr:rowOff>
    </xdr:from>
    <xdr:to>
      <xdr:col>4</xdr:col>
      <xdr:colOff>597449</xdr:colOff>
      <xdr:row>2</xdr:row>
      <xdr:rowOff>58942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Status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2012" y="0"/>
              <a:ext cx="2947766" cy="11167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reprezentuje fragmentator tabeli. Fragmentatory tabel nie są obsługiwane w tej wersji programu Excel.
Jeśli kształt został zmodyfikowany w starszej wersji programu Excel albo skoroszyt został zapisany w programie Excel 2007 lub w starszej wersji, nie można używać fragmentatora.</a:t>
              </a:r>
            </a:p>
          </xdr:txBody>
        </xdr:sp>
      </mc:Fallback>
    </mc:AlternateContent>
    <xdr:clientData fLocksWithSheet="0"/>
  </xdr:twoCellAnchor>
  <xdr:twoCellAnchor>
    <xdr:from>
      <xdr:col>11</xdr:col>
      <xdr:colOff>71078</xdr:colOff>
      <xdr:row>0</xdr:row>
      <xdr:rowOff>140234</xdr:rowOff>
    </xdr:from>
    <xdr:to>
      <xdr:col>13</xdr:col>
      <xdr:colOff>482815</xdr:colOff>
      <xdr:row>0</xdr:row>
      <xdr:rowOff>570540</xdr:rowOff>
    </xdr:to>
    <xdr:sp macro="[0]!Sheet3.SendOrderToAgent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3FF075B0-4E92-95A9-2B89-3CF40CEA79AB}"/>
            </a:ext>
          </a:extLst>
        </xdr:cNvPr>
        <xdr:cNvSpPr/>
      </xdr:nvSpPr>
      <xdr:spPr>
        <a:xfrm>
          <a:off x="8730984" y="140234"/>
          <a:ext cx="2088137" cy="430306"/>
        </a:xfrm>
        <a:prstGeom prst="roundRect">
          <a:avLst/>
        </a:prstGeom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Send order to</a:t>
          </a:r>
          <a:r>
            <a:rPr lang="pl-PL" sz="1600" b="1" baseline="0"/>
            <a:t> Agent</a:t>
          </a:r>
          <a:endParaRPr lang="pl-PL" sz="1600" b="1"/>
        </a:p>
      </xdr:txBody>
    </xdr:sp>
    <xdr:clientData/>
  </xdr:twoCellAnchor>
  <xdr:twoCellAnchor>
    <xdr:from>
      <xdr:col>11</xdr:col>
      <xdr:colOff>69157</xdr:colOff>
      <xdr:row>1</xdr:row>
      <xdr:rowOff>220916</xdr:rowOff>
    </xdr:from>
    <xdr:to>
      <xdr:col>13</xdr:col>
      <xdr:colOff>480894</xdr:colOff>
      <xdr:row>2</xdr:row>
      <xdr:rowOff>176093</xdr:rowOff>
    </xdr:to>
    <xdr:sp macro="[0]!ForwardOrderToCustomClearance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8C1EBD77-A92F-4663-B364-106EB537E0D0}"/>
            </a:ext>
          </a:extLst>
        </xdr:cNvPr>
        <xdr:cNvSpPr/>
      </xdr:nvSpPr>
      <xdr:spPr>
        <a:xfrm>
          <a:off x="8729063" y="803622"/>
          <a:ext cx="2088137" cy="430306"/>
        </a:xfrm>
        <a:prstGeom prst="roundRect">
          <a:avLst/>
        </a:prstGeom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Forward to Cust. Cl.</a:t>
          </a:r>
        </a:p>
      </xdr:txBody>
    </xdr:sp>
    <xdr:clientData/>
  </xdr:twoCellAnchor>
  <xdr:twoCellAnchor>
    <xdr:from>
      <xdr:col>6</xdr:col>
      <xdr:colOff>275344</xdr:colOff>
      <xdr:row>1</xdr:row>
      <xdr:rowOff>202986</xdr:rowOff>
    </xdr:from>
    <xdr:to>
      <xdr:col>9</xdr:col>
      <xdr:colOff>618564</xdr:colOff>
      <xdr:row>2</xdr:row>
      <xdr:rowOff>158163</xdr:rowOff>
    </xdr:to>
    <xdr:sp macro="[0]!DuplicateOrder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DCA6BD8E-D962-4ACA-97E5-88AF98D07DC7}"/>
            </a:ext>
          </a:extLst>
        </xdr:cNvPr>
        <xdr:cNvSpPr/>
      </xdr:nvSpPr>
      <xdr:spPr>
        <a:xfrm>
          <a:off x="6218944" y="785692"/>
          <a:ext cx="1804467" cy="430306"/>
        </a:xfrm>
        <a:prstGeom prst="roundRect">
          <a:avLst/>
        </a:prstGeom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Duplicate Order</a:t>
          </a:r>
        </a:p>
      </xdr:txBody>
    </xdr:sp>
    <xdr:clientData/>
  </xdr:twoCellAnchor>
  <xdr:twoCellAnchor>
    <xdr:from>
      <xdr:col>6</xdr:col>
      <xdr:colOff>266379</xdr:colOff>
      <xdr:row>0</xdr:row>
      <xdr:rowOff>140233</xdr:rowOff>
    </xdr:from>
    <xdr:to>
      <xdr:col>9</xdr:col>
      <xdr:colOff>609599</xdr:colOff>
      <xdr:row>0</xdr:row>
      <xdr:rowOff>570539</xdr:rowOff>
    </xdr:to>
    <xdr:sp macro="[0]!GoToAddNewOrderForm" textlink="">
      <xdr:nvSpPr>
        <xdr:cNvPr id="6" name="Prostokąt: zaokrąglone rogi 5">
          <a:extLst>
            <a:ext uri="{FF2B5EF4-FFF2-40B4-BE49-F238E27FC236}">
              <a16:creationId xmlns:a16="http://schemas.microsoft.com/office/drawing/2014/main" id="{282D1781-0B54-4B80-99EC-766B8181D36B}"/>
            </a:ext>
          </a:extLst>
        </xdr:cNvPr>
        <xdr:cNvSpPr/>
      </xdr:nvSpPr>
      <xdr:spPr>
        <a:xfrm>
          <a:off x="6209979" y="140233"/>
          <a:ext cx="1804467" cy="430306"/>
        </a:xfrm>
        <a:prstGeom prst="roundRect">
          <a:avLst/>
        </a:prstGeom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Add</a:t>
          </a:r>
          <a:r>
            <a:rPr lang="pl-PL" sz="1600" b="1" baseline="0"/>
            <a:t> new order</a:t>
          </a:r>
          <a:endParaRPr lang="pl-PL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190500</xdr:rowOff>
    </xdr:from>
    <xdr:to>
      <xdr:col>3</xdr:col>
      <xdr:colOff>175517</xdr:colOff>
      <xdr:row>1</xdr:row>
      <xdr:rowOff>148366</xdr:rowOff>
    </xdr:to>
    <xdr:sp macro="[0]!Arkusz1.SendOrderToAgency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CB532E8F-E0C3-4E09-B77F-25C187E65BCB}"/>
            </a:ext>
          </a:extLst>
        </xdr:cNvPr>
        <xdr:cNvSpPr/>
      </xdr:nvSpPr>
      <xdr:spPr>
        <a:xfrm>
          <a:off x="228600" y="190500"/>
          <a:ext cx="2088137" cy="430306"/>
        </a:xfrm>
        <a:prstGeom prst="roundRect">
          <a:avLst/>
        </a:prstGeom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Send order to</a:t>
          </a:r>
          <a:r>
            <a:rPr lang="pl-PL" sz="1600" b="1" baseline="0"/>
            <a:t> Agency</a:t>
          </a:r>
          <a:endParaRPr lang="pl-PL" sz="16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350520</xdr:colOff>
      <xdr:row>0</xdr:row>
      <xdr:rowOff>15240</xdr:rowOff>
    </xdr:from>
    <xdr:to>
      <xdr:col>10</xdr:col>
      <xdr:colOff>495300</xdr:colOff>
      <xdr:row>14</xdr:row>
      <xdr:rowOff>152400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8D8DDC9-806B-1316-A64D-947EA70ADF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891540</xdr:colOff>
      <xdr:row>29</xdr:row>
      <xdr:rowOff>167640</xdr:rowOff>
    </xdr:from>
    <xdr:to>
      <xdr:col>14</xdr:col>
      <xdr:colOff>609600</xdr:colOff>
      <xdr:row>58</xdr:row>
      <xdr:rowOff>175260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386A4E0B-DDE3-2BC8-CD3B-EBEB3DECE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137160</xdr:colOff>
      <xdr:row>1</xdr:row>
      <xdr:rowOff>15241</xdr:rowOff>
    </xdr:from>
    <xdr:to>
      <xdr:col>17</xdr:col>
      <xdr:colOff>464820</xdr:colOff>
      <xdr:row>4</xdr:row>
      <xdr:rowOff>15241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Wybierz klienta:" hidden="1">
              <a:extLst>
                <a:ext uri="{FF2B5EF4-FFF2-40B4-BE49-F238E27FC236}">
                  <a16:creationId xmlns:a16="http://schemas.microsoft.com/office/drawing/2014/main" id="{A92F6823-52E4-538A-9BA7-85849D5FAA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ybierz klienta: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10260" y="198121"/>
              <a:ext cx="1546860" cy="5486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>
    <xdr:from>
      <xdr:col>5</xdr:col>
      <xdr:colOff>282388</xdr:colOff>
      <xdr:row>4</xdr:row>
      <xdr:rowOff>67235</xdr:rowOff>
    </xdr:from>
    <xdr:to>
      <xdr:col>16</xdr:col>
      <xdr:colOff>118334</xdr:colOff>
      <xdr:row>27</xdr:row>
      <xdr:rowOff>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DC66C205-1F97-ADDA-24F5-30B2BBD19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artłomiej Panfil" id="{BD0D67C6-D77D-40F9-8F69-7FE02A6197B9}" userId="S::RS_Bartek_Panfil@RSGroupSpzoo310.onmicrosoft.com::37969746-b664-4c7f-9042-83c2e9acbfc9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rtłomiej Panfil" refreshedDate="45396.763420370371" createdVersion="8" refreshedVersion="8" minRefreshableVersion="3" recordCount="161" xr:uid="{0CC4B162-5B04-4FFE-800E-D422312C6545}">
  <cacheSource type="worksheet">
    <worksheetSource name="MainImport"/>
  </cacheSource>
  <cacheFields count="26">
    <cacheField name="Reference" numFmtId="0">
      <sharedItems/>
    </cacheField>
    <cacheField name="E/I" numFmtId="0">
      <sharedItems count="2">
        <s v="Import"/>
        <s v="Eksport"/>
      </sharedItems>
    </cacheField>
    <cacheField name="Customer" numFmtId="0">
      <sharedItems containsBlank="1"/>
    </cacheField>
    <cacheField name="No booking" numFmtId="0">
      <sharedItems containsBlank="1" longText="1"/>
    </cacheField>
    <cacheField name="Carrier" numFmtId="0">
      <sharedItems containsBlank="1"/>
    </cacheField>
    <cacheField name="Incoterms" numFmtId="0">
      <sharedItems containsBlank="1" count="8">
        <s v="FOB"/>
        <s v="EXW"/>
        <s v="-"/>
        <m/>
        <s v="FCA"/>
        <s v="EXW Baoan "/>
        <s v="EXW Shaoxing "/>
        <s v="EXW ROCKFORD"/>
      </sharedItems>
    </cacheField>
    <cacheField name="LCL/FCL" numFmtId="0">
      <sharedItems containsBlank="1" count="3">
        <s v="FCL"/>
        <s v="LCL"/>
        <m/>
      </sharedItems>
    </cacheField>
    <cacheField name="Amount" numFmtId="0">
      <sharedItems containsBlank="1" containsMixedTypes="1" containsNumber="1" containsInteger="1" minValue="1" maxValue="162"/>
    </cacheField>
    <cacheField name="Type" numFmtId="0">
      <sharedItems containsBlank="1" containsMixedTypes="1" containsNumber="1" containsInteger="1" minValue="5085" maxValue="5085"/>
    </cacheField>
    <cacheField name="Weight" numFmtId="0">
      <sharedItems containsBlank="1" containsMixedTypes="1" containsNumber="1" minValue="12.66" maxValue="217700"/>
    </cacheField>
    <cacheField name="CBM / TEU" numFmtId="0">
      <sharedItems containsBlank="1" containsMixedTypes="1" containsNumber="1" minValue="1" maxValue="17.846"/>
    </cacheField>
    <cacheField name="No Containers" numFmtId="0">
      <sharedItems containsBlank="1"/>
    </cacheField>
    <cacheField name="Status" numFmtId="0">
      <sharedItems containsBlank="1" count="7">
        <s v="Canceled"/>
        <s v="Delivered"/>
        <s v="Yard"/>
        <s v="On board"/>
        <s v="Booked"/>
        <s v="Ordered"/>
        <m/>
      </sharedItems>
    </cacheField>
    <cacheField name="ETD" numFmtId="0">
      <sharedItems containsDate="1" containsBlank="1" containsMixedTypes="1" minDate="2023-01-09T00:00:00" maxDate="2024-04-30T00:00:00"/>
    </cacheField>
    <cacheField name="POL" numFmtId="0">
      <sharedItems containsBlank="1"/>
    </cacheField>
    <cacheField name="ETA" numFmtId="0">
      <sharedItems containsDate="1" containsBlank="1" containsMixedTypes="1" minDate="2023-10-01T00:00:00" maxDate="2024-06-11T00:00:00" count="78">
        <d v="2024-03-05T00:00:00"/>
        <d v="2024-05-15T00:00:00"/>
        <s v="-"/>
        <d v="2023-10-01T00:00:00"/>
        <d v="2023-11-29T00:00:00"/>
        <d v="2023-12-21T00:00:00"/>
        <d v="2023-12-24T00:00:00"/>
        <d v="2023-12-29T00:00:00"/>
        <d v="2024-01-08T00:00:00"/>
        <d v="2024-01-09T00:00:00"/>
        <d v="2024-01-10T00:00:00"/>
        <d v="2024-01-11T00:00:00"/>
        <d v="2024-01-12T00:00:00"/>
        <d v="2024-01-16T00:00:00"/>
        <d v="2024-01-18T00:00:00"/>
        <d v="2024-01-20T00:00:00"/>
        <d v="2024-01-24T00:00:00"/>
        <d v="2024-01-25T00:00:00"/>
        <d v="2024-01-29T00:00:00"/>
        <d v="2024-02-01T00:00:00"/>
        <d v="2024-02-02T00:00:00"/>
        <d v="2024-02-05T00:00:00"/>
        <d v="2024-02-09T00:00:00"/>
        <d v="2024-02-12T00:00:00"/>
        <d v="2024-02-14T00:00:00"/>
        <d v="2024-02-16T00:00:00"/>
        <d v="2024-02-19T00:00:00"/>
        <d v="2024-02-21T00:00:00"/>
        <d v="2024-02-26T00:00:00"/>
        <d v="2024-03-01T00:00:00"/>
        <d v="2024-03-06T00:00:00"/>
        <d v="2024-03-08T00:00:00"/>
        <d v="2024-03-12T00:00:00"/>
        <d v="2024-03-13T00:00:00"/>
        <d v="2024-03-15T00:00:00"/>
        <d v="2024-03-19T00:00:00"/>
        <d v="2024-03-21T00:00:00"/>
        <d v="2024-03-22T00:00:00"/>
        <d v="2024-03-25T00:00:00"/>
        <d v="2024-03-26T00:00:00"/>
        <d v="2024-03-27T00:00:00"/>
        <d v="2024-03-28T00:00:00"/>
        <d v="2024-03-29T00:00:00"/>
        <d v="2024-04-02T00:00:00"/>
        <d v="2024-04-07T00:00:00"/>
        <d v="2024-05-10T00:00:00"/>
        <d v="2024-04-04T00:00:00"/>
        <d v="2024-04-08T00:00:00"/>
        <d v="2024-04-09T00:00:00"/>
        <d v="2024-04-13T00:00:00"/>
        <d v="2024-04-11T00:00:00"/>
        <d v="2024-04-14T00:00:00"/>
        <d v="2024-04-17T00:00:00"/>
        <d v="2024-04-19T00:00:00"/>
        <d v="2024-04-21T00:00:00"/>
        <d v="2024-04-22T00:00:00"/>
        <d v="2024-04-25T00:00:00"/>
        <d v="2024-04-26T00:00:00"/>
        <d v="2024-04-27T00:00:00"/>
        <d v="2024-04-30T00:00:00"/>
        <d v="2024-05-03T00:00:00"/>
        <d v="2024-05-05T00:00:00"/>
        <d v="2024-05-07T00:00:00"/>
        <d v="2024-05-09T00:00:00"/>
        <d v="2024-05-13T00:00:00"/>
        <d v="2024-05-17T00:00:00"/>
        <d v="2024-05-19T00:00:00"/>
        <d v="2024-05-24T00:00:00"/>
        <d v="2024-05-27T00:00:00"/>
        <d v="2024-05-29T00:00:00"/>
        <d v="2024-06-10T00:00:00"/>
        <d v="2024-05-21T00:00:00"/>
        <d v="2024-05-25T00:00:00"/>
        <d v="2024-05-31T00:00:00"/>
        <d v="2024-06-05T00:00:00"/>
        <d v="2024-06-07T00:00:00"/>
        <d v="2024-05-22T00:00:00"/>
        <m/>
      </sharedItems>
    </cacheField>
    <cacheField name="POD" numFmtId="0">
      <sharedItems containsBlank="1"/>
    </cacheField>
    <cacheField name="Customs Clearance" numFmtId="0">
      <sharedItems containsBlank="1"/>
    </cacheField>
    <cacheField name="Shipper" numFmtId="0">
      <sharedItems containsBlank="1"/>
    </cacheField>
    <cacheField name="Consingee" numFmtId="0">
      <sharedItems containsBlank="1"/>
    </cacheField>
    <cacheField name="Marks" numFmtId="0">
      <sharedItems containsBlank="1" containsMixedTypes="1" containsNumber="1" minValue="-39.130000000000003" maxValue="9270.82"/>
    </cacheField>
    <cacheField name="Agent" numFmtId="0">
      <sharedItems containsBlank="1"/>
    </cacheField>
    <cacheField name="Sell rate" numFmtId="0">
      <sharedItems containsBlank="1" containsMixedTypes="1" containsNumber="1" containsInteger="1" minValue="1000" maxValue="2350" longText="1"/>
    </cacheField>
    <cacheField name="Buy rate" numFmtId="0">
      <sharedItems containsBlank="1" containsMixedTypes="1" containsNumber="1" containsInteger="1" minValue="900" maxValue="5000" longText="1"/>
    </cacheField>
    <cacheField name="Insurance" numFmtId="0">
      <sharedItems containsBlank="1"/>
    </cacheField>
    <cacheField name="Profit" numFmtId="0">
      <sharedItems containsBlank="1" containsMixedTypes="1" containsNumber="1" minValue="-39.130000000000003" maxValue="9270.82"/>
    </cacheField>
  </cacheFields>
  <extLst>
    <ext xmlns:x14="http://schemas.microsoft.com/office/spreadsheetml/2009/9/main" uri="{725AE2AE-9491-48be-B2B4-4EB974FC3084}">
      <x14:pivotCacheDefinition pivotCacheId="31056501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rtłomiej Panfil" refreshedDate="45406.847505439815" createdVersion="8" refreshedVersion="8" minRefreshableVersion="3" recordCount="161" xr:uid="{0314E81D-BEE8-4958-BCA7-74B31472FFB6}">
  <cacheSource type="worksheet">
    <worksheetSource name="MainImport"/>
  </cacheSource>
  <cacheFields count="28">
    <cacheField name="Reference" numFmtId="0">
      <sharedItems/>
    </cacheField>
    <cacheField name="E/I" numFmtId="0">
      <sharedItems/>
    </cacheField>
    <cacheField name="Customer" numFmtId="0">
      <sharedItems containsBlank="1" count="86">
        <s v="Ucllinium"/>
        <s v="NTT"/>
        <s v="iCOP "/>
        <s v="Propertinium Poland"/>
        <s v="Emlole"/>
        <s v="Baatis"/>
        <s v="Mkalam"/>
        <s v="Tedlew"/>
        <s v="MKF"/>
        <s v="Larack"/>
        <s v="Adranka"/>
        <s v="OMEGA"/>
        <s v="B2D"/>
        <s v="JS Firma"/>
        <s v="SSK"/>
        <s v="MKM Fropil"/>
        <s v="Klusart"/>
        <s v="APPLIG"/>
        <s v="Meblowy Cud"/>
        <s v="Nensell"/>
        <s v="SERWIS"/>
        <s v="Loksfop"/>
        <s v="MASZYNY"/>
        <s v="Itike"/>
        <s v="CHARDRE SYSTEM "/>
        <s v="Agball"/>
        <s v="Cukrowita"/>
        <s v="NOTLAD"/>
        <s v="Mawajski"/>
        <s v="Asolemp"/>
        <s v="PUH POL"/>
        <s v="PHUP"/>
        <s v="VICT"/>
        <s v="JCWE"/>
        <s v="Kewkse"/>
        <s v="Decoratorniapl"/>
        <s v="SZCHARA"/>
        <s v="Eltormet"/>
        <s v="GLASS"/>
        <s v="MEMVIS"/>
        <s v="PSP"/>
        <s v="Firma"/>
        <s v="Sylvia"/>
        <s v="Unicell" u="1"/>
        <s v="Platinum Property" u="1"/>
        <s v="Tecweld" u="1"/>
        <s v="MKV Brakowski" u="1"/>
        <s v="SKZ" u="1"/>
        <s v="Serwis Kop" u="1"/>
        <s v="MASZYNOHURT" u="1"/>
        <s v="DALTON" u="1"/>
        <s v="Assempol" u="1"/>
        <s v="PHUP &quot;IMPULS&quot;" u="1"/>
        <s v="VICTORIA" u="1"/>
        <s v="Elpromet" u="1"/>
        <s v="DRGLASS" u="1"/>
        <s v="MEMFIS" u="1"/>
        <s v="PSB Mrowka" u="1"/>
        <s v="BAUHUS" u="1"/>
        <s v="Sylwia Perun" u="1"/>
        <s v="NETTO" u="1"/>
        <s v="iCOMP.pl " u="1"/>
        <s v="Emole" u="1"/>
        <s v="Barista" u="1"/>
        <s v="Alkam" u="1"/>
        <s v="LAMPCAR" u="1"/>
        <s v="Adreno" u="1"/>
        <s v="Omega PHT" u="1"/>
        <s v="B2B" u="1"/>
        <s v="JSD" u="1"/>
        <s v="MTM Profi" u="1"/>
        <s v="Krużel" u="1"/>
        <s v="APPLINK" u="1"/>
        <s v="Mebel Partner" u="1"/>
        <s v="NETBUY" u="1"/>
        <s v="FOXPOL" u="1"/>
        <s v="Italbike" u="1"/>
        <s v="HARDAWRE SYSTEM " u="1"/>
        <s v="ALLBAG" u="1"/>
        <s v="Celman" u="1"/>
        <s v="Madejski" u="1"/>
        <s v="PHU Kar-Pol" u="1"/>
        <s v="JJC Sp. Z o.o." u="1"/>
        <s v="KAVEX" u="1"/>
        <s v="Decorini" u="1"/>
        <m u="1"/>
      </sharedItems>
    </cacheField>
    <cacheField name="No booking" numFmtId="0">
      <sharedItems longText="1"/>
    </cacheField>
    <cacheField name="Carrier" numFmtId="0">
      <sharedItems/>
    </cacheField>
    <cacheField name="Incoterms" numFmtId="0">
      <sharedItems/>
    </cacheField>
    <cacheField name="LCL/FCL" numFmtId="0">
      <sharedItems containsBlank="1" count="3">
        <s v="FCL"/>
        <s v="LCL"/>
        <m u="1"/>
      </sharedItems>
    </cacheField>
    <cacheField name="Amount" numFmtId="1">
      <sharedItems containsMixedTypes="1" containsNumber="1" containsInteger="1" minValue="1" maxValue="162"/>
    </cacheField>
    <cacheField name="Type" numFmtId="0">
      <sharedItems containsMixedTypes="1" containsNumber="1" containsInteger="1" minValue="5085" maxValue="5085"/>
    </cacheField>
    <cacheField name="Weight" numFmtId="2">
      <sharedItems containsMixedTypes="1" containsNumber="1" minValue="12.66" maxValue="217700"/>
    </cacheField>
    <cacheField name="CBM / TEU" numFmtId="2">
      <sharedItems containsMixedTypes="1" containsNumber="1" minValue="1" maxValue="17.846"/>
    </cacheField>
    <cacheField name="No Containers" numFmtId="0">
      <sharedItems/>
    </cacheField>
    <cacheField name="Status" numFmtId="0">
      <sharedItems containsBlank="1" count="7">
        <s v="Canceled"/>
        <s v="Delivered"/>
        <s v="Yard"/>
        <s v="On board"/>
        <s v="Booked"/>
        <s v="Ordered"/>
        <m u="1"/>
      </sharedItems>
    </cacheField>
    <cacheField name="ETD" numFmtId="14">
      <sharedItems containsDate="1" containsMixedTypes="1" minDate="2023-01-09T00:00:00" maxDate="2024-05-01T00:00:00"/>
    </cacheField>
    <cacheField name="POL" numFmtId="0">
      <sharedItems/>
    </cacheField>
    <cacheField name="ETA" numFmtId="0">
      <sharedItems containsDate="1" containsMixedTypes="1" minDate="2023-10-01T00:00:00" maxDate="2024-06-15T00:00:00"/>
    </cacheField>
    <cacheField name="POD" numFmtId="0">
      <sharedItems/>
    </cacheField>
    <cacheField name="Customs Clearance" numFmtId="0">
      <sharedItems/>
    </cacheField>
    <cacheField name="Shipper" numFmtId="0">
      <sharedItems/>
    </cacheField>
    <cacheField name="Consingee" numFmtId="0">
      <sharedItems/>
    </cacheField>
    <cacheField name="Marks" numFmtId="0">
      <sharedItems containsMixedTypes="1" containsNumber="1" minValue="-39.130000000000003" maxValue="9270.82"/>
    </cacheField>
    <cacheField name="Agent" numFmtId="0">
      <sharedItems/>
    </cacheField>
    <cacheField name="Sell rate" numFmtId="0">
      <sharedItems containsMixedTypes="1" containsNumber="1" containsInteger="1" minValue="1000" maxValue="2350" longText="1"/>
    </cacheField>
    <cacheField name="Buy rate" numFmtId="0">
      <sharedItems containsMixedTypes="1" containsNumber="1" containsInteger="1" minValue="900" maxValue="5000" longText="1"/>
    </cacheField>
    <cacheField name="Insurance" numFmtId="0">
      <sharedItems/>
    </cacheField>
    <cacheField name="Profit" numFmtId="0">
      <sharedItems containsMixedTypes="1" containsNumber="1" minValue="-39.130000000000003" maxValue="9270.82"/>
    </cacheField>
    <cacheField name="Month" numFmtId="0">
      <sharedItems containsMixedTypes="1" containsNumber="1" containsInteger="1" minValue="1" maxValue="12" count="10">
        <n v="3"/>
        <n v="5"/>
        <e v="#VALUE!"/>
        <n v="10"/>
        <n v="11"/>
        <n v="12"/>
        <n v="1"/>
        <n v="2"/>
        <n v="4"/>
        <n v="6"/>
      </sharedItems>
    </cacheField>
    <cacheField name="Year" numFmtId="0">
      <sharedItems containsMixedTypes="1" containsNumber="1" containsInteger="1" minValue="2023" maxValue="2024" count="3">
        <n v="2024"/>
        <e v="#VALUE!"/>
        <n v="2023"/>
      </sharedItems>
    </cacheField>
  </cacheFields>
  <extLst>
    <ext xmlns:x14="http://schemas.microsoft.com/office/spreadsheetml/2009/9/main" uri="{725AE2AE-9491-48be-B2B4-4EB974FC3084}">
      <x14:pivotCacheDefinition pivotCacheId="195724445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">
  <r>
    <s v="-"/>
    <x v="0"/>
    <s v="Unicell"/>
    <s v="-"/>
    <s v="-"/>
    <x v="0"/>
    <x v="0"/>
    <n v="1"/>
    <s v="40HC"/>
    <s v="-"/>
    <n v="2"/>
    <s v="-"/>
    <x v="0"/>
    <d v="2024-02-01T00:00:00"/>
    <s v="Shanghai"/>
    <x v="0"/>
    <s v="Gdańsk"/>
    <s v="-"/>
    <s v="-"/>
    <s v="-"/>
    <s v="-"/>
    <s v="-"/>
    <s v="FOB Shanghai to Gdansk_x000a_O/F: USD5050/40HQ via EMC_x000a_THC 205 EUR per container_x000a_DOC 55 EUR per container_x000a_ISPS 25 EUR per container_x000a_ODPRAWA 220 PLN_x000a_TRANSPORT GDN &gt; WASILKÓW DO 24 TON (wagi towaru) 16-010 : 3300 PLN + BAF ( na razie 0 %) per container"/>
    <s v="4800 USD"/>
    <s v="-"/>
    <m/>
  </r>
  <r>
    <s v="ZL209/02/24"/>
    <x v="0"/>
    <s v="NETTO"/>
    <s v="CS 0368 II  Ok 13500 usd 2 kontenery "/>
    <s v="EMC"/>
    <x v="0"/>
    <x v="0"/>
    <n v="2"/>
    <s v="20DV"/>
    <s v="-"/>
    <n v="2"/>
    <s v="-"/>
    <x v="0"/>
    <d v="2024-03-20T00:00:00"/>
    <s v="Mundra"/>
    <x v="1"/>
    <s v="Gdynia"/>
    <s v="AC Klienta"/>
    <s v="Comet Granito _x000a_Phone : +91 98795 09411_x000a_Email: export.granicer@gmail.com"/>
    <s v="-"/>
    <s v="-"/>
    <s v="Drishti Chauhan_x000a_Manager – Customer Service &amp; Operations_x000a_Gandhidham Office_x000a_Clearship Group_x000a_E: asstmgr.gdm@clearship.com | Mobile : 9167733885"/>
    <s v="OFR MUNDRA – GDYNIA 20 DV: 2995 USD per container _x000a_THC 215 EUR per container_x000a_DOC 55 EUR per container_x000a_ISPS 25 EUR per container "/>
    <s v="OFR 2900 USD"/>
    <s v="-"/>
    <s v="-"/>
  </r>
  <r>
    <s v="ZL048/01/24"/>
    <x v="0"/>
    <s v="iCOMP.pl "/>
    <s v="-"/>
    <s v="-"/>
    <x v="0"/>
    <x v="0"/>
    <n v="1"/>
    <s v="40HC"/>
    <s v="-"/>
    <n v="2"/>
    <s v="-"/>
    <x v="0"/>
    <s v="-"/>
    <s v="Ningbo"/>
    <x v="2"/>
    <s v="Gdańsk"/>
    <s v="-"/>
    <s v="-"/>
    <s v="-"/>
    <s v="-"/>
    <s v="-"/>
    <s v="-"/>
    <s v="-"/>
    <s v="-"/>
    <m/>
  </r>
  <r>
    <s v="ZL081/03/24"/>
    <x v="0"/>
    <s v="Platinum Property"/>
    <s v="RAIL [RS22/3] "/>
    <s v="-"/>
    <x v="1"/>
    <x v="0"/>
    <n v="1"/>
    <s v="40HC"/>
    <s v="-"/>
    <n v="2"/>
    <s v="-"/>
    <x v="0"/>
    <d v="2024-04-15T00:00:00"/>
    <s v="Tianjin"/>
    <x v="2"/>
    <s v="Gdansk"/>
    <s v="-"/>
    <s v="-"/>
    <s v="-"/>
    <s v="-"/>
    <s v="-"/>
    <s v="-"/>
    <s v="-"/>
    <s v="-"/>
    <s v="-"/>
  </r>
  <r>
    <s v="ZL110/10/23"/>
    <x v="0"/>
    <s v="Platinum Property"/>
    <s v="[RS5/10] SZSE23102522 "/>
    <s v="-"/>
    <x v="0"/>
    <x v="0"/>
    <n v="1"/>
    <s v="40HC"/>
    <s v="-"/>
    <n v="2"/>
    <s v="SEGU5324172"/>
    <x v="1"/>
    <m/>
    <s v="Shenzhen"/>
    <x v="3"/>
    <s v="Gdańsk"/>
    <s v="Porath"/>
    <m/>
    <m/>
    <n v="870.84"/>
    <m/>
    <m/>
    <m/>
    <m/>
    <n v="870.84"/>
  </r>
  <r>
    <s v="ZL025/11/23"/>
    <x v="0"/>
    <s v="Emole"/>
    <s v="-"/>
    <s v="-"/>
    <x v="2"/>
    <x v="0"/>
    <s v="-"/>
    <s v="-"/>
    <s v="-"/>
    <s v="-"/>
    <s v="MSKU8392428 "/>
    <x v="1"/>
    <s v="-"/>
    <s v="-"/>
    <x v="3"/>
    <s v="-"/>
    <s v="-"/>
    <s v="-"/>
    <s v="-"/>
    <n v="822"/>
    <s v="-"/>
    <s v="-"/>
    <s v="-"/>
    <s v="-"/>
    <n v="822"/>
  </r>
  <r>
    <s v="ZL105/10/23"/>
    <x v="0"/>
    <s v="Platinum Property"/>
    <s v="[RS2/10] SZSE23101714"/>
    <s v="-"/>
    <x v="0"/>
    <x v="0"/>
    <n v="1"/>
    <s v="40HC"/>
    <s v="-"/>
    <n v="2"/>
    <s v="TCNU8718026"/>
    <x v="1"/>
    <s v="-"/>
    <s v="Yantian"/>
    <x v="3"/>
    <s v="Gdańsk"/>
    <s v="Porath"/>
    <s v="-"/>
    <s v="-"/>
    <n v="6554.47"/>
    <s v="-"/>
    <n v="1000"/>
    <n v="900"/>
    <s v="BRAK"/>
    <n v="6554.47"/>
  </r>
  <r>
    <s v="zl026/11/23"/>
    <x v="0"/>
    <s v="Platinum Property"/>
    <s v="[RS3/11] SZSE23110213  "/>
    <s v="-"/>
    <x v="2"/>
    <x v="0"/>
    <n v="1"/>
    <s v="40HC"/>
    <m/>
    <n v="2"/>
    <s v="FCIU8317178"/>
    <x v="1"/>
    <s v="-"/>
    <m/>
    <x v="3"/>
    <m/>
    <s v="Porath"/>
    <s v="-"/>
    <s v="-"/>
    <n v="1589.88"/>
    <s v="-"/>
    <s v="-"/>
    <s v="-"/>
    <s v="-"/>
    <n v="1589.88"/>
  </r>
  <r>
    <s v="ZL124/10/23"/>
    <x v="0"/>
    <s v="Barista"/>
    <s v="PFC16136/2023/MRY "/>
    <s v="PFC"/>
    <x v="1"/>
    <x v="1"/>
    <n v="86"/>
    <s v="ctn"/>
    <n v="518.4"/>
    <n v="5.0999999999999996"/>
    <s v="-"/>
    <x v="1"/>
    <d v="2023-10-30T00:00:00"/>
    <s v="-"/>
    <x v="4"/>
    <s v="Gdańsk"/>
    <s v="Taksim-pol"/>
    <m/>
    <m/>
    <n v="408.43"/>
    <m/>
    <s v="EXW all in: 370  USD_x000a_OFR GUANGHZOU – GDAŃSK 28 USD WM *5,65 CBM = 158,20 USD_x000a_THC 20 USD WM *5,65 CBM = 113 USD_x000a_DOC 20 USD_x000a_ODPRAWA 220 PLN_x000a_TRANSPORT GDN &gt; WAW : 750 PLN_x000a__x000a_ _x000a__x000a_TOTAL : 661,20 USD + 970 PLN "/>
    <m/>
    <m/>
    <n v="408.43"/>
  </r>
  <r>
    <s v="ZL094/11/23"/>
    <x v="0"/>
    <s v="Alkam"/>
    <s v="PFC16557/2023/MRY"/>
    <s v="-"/>
    <x v="2"/>
    <x v="1"/>
    <n v="126"/>
    <s v="ctn"/>
    <n v="1379"/>
    <n v="8.2710000000000008"/>
    <s v="OERU4048038"/>
    <x v="1"/>
    <d v="2023-11-13T00:00:00"/>
    <s v="Shenzhen"/>
    <x v="5"/>
    <s v="Gdańsk"/>
    <s v="AC Klienta - DTA "/>
    <s v="-"/>
    <s v="-"/>
    <n v="219.44"/>
    <s v="-"/>
    <s v="EXW Shenzhen: 390 USD (wliczony koszt odprawy exportowej 45 USD do 5 items) - Jeżeli jest więcej niż 5 kodów to potem kolejne 45 USD za kolejnych 5 kodów._x000a_OF SHZ – GDA: 20 USD W/M*8,271 cbm = 165,90 USD_x000a_THC: 15 USD W/M*7,9 cbm = 124,07 USD_x000a_BL: 20 USD/BL_x000a_Transport GDN&gt;POZNAŃ AUTO z WINDĄ: 985 PLN ( 233 USD )_x000a_Transport GDN&gt;POZNAŃ AUTO BEZ WINDY: 850 PLN ( 201 USD )_x000a__x000a_ _x000a__x000a_TOTAL AUTO Z WINDĄ: 932,97 USD_x000a__x000a_TOTAL AUTO BEZ WINDY : 900,97 USD "/>
    <s v="-"/>
    <s v="-"/>
    <n v="219.44"/>
  </r>
  <r>
    <s v="ZL123/10/23"/>
    <x v="0"/>
    <s v="Tecweld"/>
    <s v="[RS3/10] SZSE23102315 "/>
    <s v="Maersk"/>
    <x v="0"/>
    <x v="0"/>
    <n v="1"/>
    <s v="20DV"/>
    <s v="-"/>
    <n v="1"/>
    <s v="SUDU7868581"/>
    <x v="1"/>
    <d v="2023-11-11T00:00:00"/>
    <s v="Xingang"/>
    <x v="6"/>
    <s v="Gdańsk"/>
    <s v="AC Klienta - Taksim-pol"/>
    <s v="-"/>
    <m/>
    <n v="459.54"/>
    <m/>
    <s v=" OFR XINGANG – GDANSK 20 DV: 680 USD_x000a_THC 205 EUR_x000a_DOC 55 EUR_x000a_ISPS 25 EUR_x000a_TRANSPORT 2900 PLN "/>
    <m/>
    <m/>
    <n v="459.54"/>
  </r>
  <r>
    <s v="ZL059/12/23"/>
    <x v="0"/>
    <s v="MKV Brakowski"/>
    <s v="PFC16551/2023/MRY"/>
    <m/>
    <x v="0"/>
    <x v="1"/>
    <n v="5"/>
    <s v="package"/>
    <n v="4920"/>
    <n v="5.0999999999999996"/>
    <s v="-"/>
    <x v="1"/>
    <d v="2023-11-07T00:00:00"/>
    <s v="Ningbo"/>
    <x v="7"/>
    <s v="Gdańsk"/>
    <s v="Taksim-pol"/>
    <s v="-"/>
    <s v="-"/>
    <n v="180.16"/>
    <s v="-"/>
    <s v="OFR NINGBO - GDANSK : 20USD* 5,1CBM= 102 USD _x000a_THC 20 USD WM* 5,1 CBM = 102 USD _x000a_DOC 20 USD _x000a_ODPRAWA 220 PLN _x000a_TRANSPORT GDN &gt; OSIELSKO : 1100 PLN _x000a__x000a_TOTAL : 224 USD + 1320 PLN "/>
    <s v="-"/>
    <s v="TAK"/>
    <n v="180.16"/>
  </r>
  <r>
    <s v="ZL027/11/23"/>
    <x v="0"/>
    <s v="Platinum Property"/>
    <s v="[RS2/11] SZSE23110204"/>
    <s v="COSCO"/>
    <x v="2"/>
    <x v="0"/>
    <n v="1"/>
    <s v="40HC"/>
    <s v="-"/>
    <n v="2"/>
    <s v="EGHU9357624"/>
    <x v="1"/>
    <s v="-"/>
    <s v="-"/>
    <x v="8"/>
    <s v="Gdańsk"/>
    <s v="Porath"/>
    <m/>
    <m/>
    <n v="2597.4299999999998"/>
    <m/>
    <m/>
    <m/>
    <m/>
    <n v="2597.4299999999998"/>
  </r>
  <r>
    <s v="ZL140/10/23"/>
    <x v="0"/>
    <s v="Barista"/>
    <s v="RO: 0155420 KEL/GDN/2311117 "/>
    <s v="ECU"/>
    <x v="2"/>
    <x v="1"/>
    <n v="148"/>
    <s v="ctn"/>
    <n v="2458"/>
    <n v="6.63"/>
    <s v="TRHU3207367"/>
    <x v="1"/>
    <d v="2023-11-12T00:00:00"/>
    <s v="Keelung"/>
    <x v="9"/>
    <s v="Gdańsk"/>
    <s v="Taksim-pol"/>
    <s v="-"/>
    <s v="-"/>
    <n v="857.84"/>
    <s v="-"/>
    <s v="EXW: 550 USD_x000a_OFR KEELUNG – GDAŃSK : 53 USD WM * 6,52 CBM = 345,56 USD_x000a_THC 20 USD WM *6,52 CBM = 130,40 USD_x000a_DOC 20 USD_x000a_ODPRAWA 220 PLN_x000a_TRANSPORT GDN &gt; WARSZAWA: 1150 PLN_x000a_TOTAL: 1045,96 USD + 1370 PLN "/>
    <s v="-"/>
    <s v="-"/>
    <n v="857.84"/>
  </r>
  <r>
    <s v="ZL111/10/23"/>
    <x v="0"/>
    <s v="Barista"/>
    <s v="RO: 154598 JEAGDN00021"/>
    <s v="ECU"/>
    <x v="2"/>
    <x v="1"/>
    <n v="5"/>
    <s v="package"/>
    <n v="1290"/>
    <n v="9.6300000000000008"/>
    <s v="OOCU8009730"/>
    <x v="1"/>
    <d v="2023-11-20T00:00:00"/>
    <s v="Jebel Ali"/>
    <x v="9"/>
    <s v="Gdynia"/>
    <s v="Taksim-pol"/>
    <m/>
    <m/>
    <n v="587.94000000000005"/>
    <m/>
    <s v="FOB JEBEL ALI – GDAŃSK_x000a_OF USD 125 WM * 9,44 CBM = 1180 USD  _x000a_Doc USD 20_x000a_THC USD 20 USD WM  = 188,40 USD_x000a_ODPRAWA 220 PLN_x000a_TRANSPORT : 985 PLN_x000a_TOTAL : 1388,40 USD + 1205 PLN "/>
    <m/>
    <m/>
    <n v="587.94000000000005"/>
  </r>
  <r>
    <s v="ZL135/11/23"/>
    <x v="0"/>
    <s v="Alkam"/>
    <s v="PFC17313/2023/MRY"/>
    <s v="PFC"/>
    <x v="2"/>
    <x v="1"/>
    <n v="75"/>
    <s v="package"/>
    <n v="1000.15"/>
    <n v="5.9"/>
    <s v="TEMU0145247"/>
    <x v="1"/>
    <d v="2023-11-21T00:00:00"/>
    <s v="Shanghai"/>
    <x v="10"/>
    <s v="Gdańsk"/>
    <s v="Agencja Klienta - DTA"/>
    <s v="-"/>
    <s v="-"/>
    <n v="-39.130000000000003"/>
    <s v="-"/>
    <s v="OFR SHANGHAI - GDAŃSK : 20 USD WM *5,9CBM = 118 USD _x000a_THC 15 USD WM*5,9 CBM = 88,50 USD _x000a_DOC 20 USD TRANSPORT GDN &gt; POZNAŃ _x000a_AUTO Z WINDĄ: 195 USD_x000a__x000a_TOTAL AUTO Z WINDĄ ; 421 USD"/>
    <s v="-"/>
    <s v="-"/>
    <n v="-39.130000000000003"/>
  </r>
  <r>
    <s v="ZL028/11/23"/>
    <x v="0"/>
    <s v="LAMPCAR"/>
    <s v="PFC16762/2023/MRY"/>
    <s v="PFC"/>
    <x v="2"/>
    <x v="1"/>
    <n v="9"/>
    <s v="plt"/>
    <n v="4322"/>
    <n v="13.57"/>
    <s v="-"/>
    <x v="1"/>
    <d v="2023-11-29T00:00:00"/>
    <s v="Ningbo"/>
    <x v="11"/>
    <s v="Gdańsk"/>
    <s v="Taksim-pol"/>
    <s v="-"/>
    <s v="-"/>
    <n v="71.58"/>
    <s v="-"/>
    <s v="OFR NINGBO – GDAŃSK : 20 USD WM *10,32 CBM =206,40 USD / NOWAKOWSKI 210_x000a_THC =110 USD per przesyłka / to na równi_x000a_DOC 40 USD / NOWAKOWSKI 50 USD_x000a_ODPRAWA 220 PLN / na równi_x000a_TRANSPORT GDN &gt; BYDGOSZCZ : 1100 PLN "/>
    <s v="-"/>
    <m/>
    <n v="71.58"/>
  </r>
  <r>
    <s v="ZL087/11/23"/>
    <x v="0"/>
    <s v="Adreno"/>
    <s v="PFC17244/2023/MRY"/>
    <s v="PFC"/>
    <x v="1"/>
    <x v="1"/>
    <n v="19"/>
    <s v="ctn"/>
    <n v="308.14999999999998"/>
    <n v="1.4470000000000001"/>
    <s v="EITU0432034"/>
    <x v="1"/>
    <d v="2023-11-30T00:00:00"/>
    <s v="-"/>
    <x v="11"/>
    <s v="Gdańsk"/>
    <s v="Taksim-pol"/>
    <s v="-"/>
    <s v="-"/>
    <n v="594.35"/>
    <s v="-"/>
    <s v="EXW hangzhou city: 290 USD + 30 USD dokumenty celne + 33 USD naklejki = 353 USD_x000a_ OFR SHANGHAI/NINGBO – GDAŃSK : 30 USD WM *1,447 CBM = 43,41 USD  _x000a_THC 25 USD WM *1,447 CBM = 36,18 USD_x000a_DOC 20 USD_x000a_ODPRAWA 220 PLN_x000a_TRANSPORT GDN – BIAŁYSTOK 15-644 ( transport łączony dla obu przesyłek ) : 1200 PLN"/>
    <s v="-"/>
    <s v="-"/>
    <n v="594.35"/>
  </r>
  <r>
    <s v="ZL088/11/23"/>
    <x v="0"/>
    <s v="Adreno"/>
    <s v="PFC17243/2023/MRY"/>
    <s v="PFC"/>
    <x v="1"/>
    <x v="1"/>
    <n v="29"/>
    <s v="ctn"/>
    <n v="449"/>
    <n v="2.59"/>
    <s v="EITU9316842"/>
    <x v="1"/>
    <d v="2023-11-28T00:00:00"/>
    <s v="Ningbo"/>
    <x v="11"/>
    <s v="Gdańsk"/>
    <s v="Taksim-pol"/>
    <s v="-"/>
    <s v="-"/>
    <n v="656.1"/>
    <s v="-"/>
    <s v="EXW Shanghai/Ningbo: 320 USD / z wliczonym kosztem 30 USD za brak przygotowanych dokumentów do odprawy._x000a_ OFR SHANGHAI/NINGBO – GDAŃSK : 30 USD WM *2,59 CBM = 77,70 USD_x000a_THC 25 USD WM *2,59CBM = 64,75 USD_x000a_DOC 20 USD_x000a_ODPRAWA 220 PLN"/>
    <s v="-"/>
    <s v="-"/>
    <n v="656.1"/>
  </r>
  <r>
    <s v="ZL036/11/23"/>
    <x v="0"/>
    <s v="Omega PHT"/>
    <s v="Ref:0156337 TAOGDN01049"/>
    <s v="ECU"/>
    <x v="3"/>
    <x v="1"/>
    <n v="8"/>
    <s v="plt"/>
    <n v="4758.3599999999997"/>
    <n v="5.94"/>
    <s v="SZLU9823450"/>
    <x v="1"/>
    <d v="2023-11-21T00:00:00"/>
    <s v="Qingdao"/>
    <x v="12"/>
    <s v="Gdańsk"/>
    <s v="Agencja Klienta"/>
    <s v="-"/>
    <s v="-"/>
    <n v="137.51"/>
    <s v="-"/>
    <s v="OFR QINGDAO + THC : 28 USD WM * 5,94 CBM  / 24 USD _x000a_DOC 20 USD_x000a_ODPRAWA 220 PLN_x000a_TRANSPORT GDN &gt; PLOCK : 1250 PLN_x000a_TOTAL : 198,20 USD + 1470 PLN "/>
    <m/>
    <m/>
    <n v="137.51"/>
  </r>
  <r>
    <s v="ZL060/12/23"/>
    <x v="0"/>
    <s v="MKV Brakowski"/>
    <s v="23QDBEST178 37917/2023/IMP/MPO01"/>
    <s v="ATC Cargo"/>
    <x v="0"/>
    <x v="1"/>
    <s v="-"/>
    <s v="-"/>
    <n v="5974"/>
    <n v="7.62"/>
    <s v="TCLU5874774"/>
    <x v="1"/>
    <d v="2023-11-04T00:00:00"/>
    <s v="Qingdao"/>
    <x v="13"/>
    <s v="Gdańsk"/>
    <s v="Taksim-pol"/>
    <s v="-"/>
    <s v="-"/>
    <n v="442.63"/>
    <s v="-"/>
    <s v="OFR QINGDAO - GDAŃSK :  26 USD WM * 7,62 CBM= 198,12 USD _x000a_THC 20 USD WM * 7,62 CBM = 152,40 USD _x000a_DOC 20 USD _x000a_ODPRAWA 220 PLN _x000a_TRANSPORT GDB &gt; OSIELSKO : 1200 PLN_x000a_Ubezpieczenie: formie ubezpieczenie CARGO: 0,2 % /w oparciu o I.C.C. (A); min. 25 USD_x000a_TOTAL: 370,52 USD + 1420 PLN"/>
    <s v="-"/>
    <s v="TAK"/>
    <n v="442.63"/>
  </r>
  <r>
    <s v="ZL145/10/23"/>
    <x v="0"/>
    <s v="Tecweld"/>
    <s v="[RS1/11] SZSE23110101 BYCK230982  233013341"/>
    <s v="Maersk"/>
    <x v="0"/>
    <x v="0"/>
    <n v="1"/>
    <s v="40HC"/>
    <n v="5623"/>
    <n v="2"/>
    <s v="TLLU6850815"/>
    <x v="1"/>
    <d v="2023-11-20T00:00:00"/>
    <s v="Huangpu"/>
    <x v="14"/>
    <s v="Gdańsk"/>
    <s v="AC Klienta - Taksim-pol"/>
    <s v="-"/>
    <s v="-"/>
    <n v="524.38"/>
    <m/>
    <s v="OFR HUANGPU – GDAŃSK 40HC : 1100 USD_x000a_THC 205 EUR_x000a_DOC 55 EUR_x000a_ISPS 25 EUR_x000a_TRANSPORT GDN &gt; BYTOM : 3400 PLN + BAF 0 % na dziś "/>
    <m/>
    <m/>
    <n v="524.38"/>
  </r>
  <r>
    <s v="ZL142/10/23"/>
    <x v="0"/>
    <s v="Tecweld"/>
    <s v="[RS6/10] SZSE23103115 TJN0279479"/>
    <s v="CMA"/>
    <x v="0"/>
    <x v="0"/>
    <n v="1"/>
    <s v="20DV"/>
    <n v="13798"/>
    <n v="1"/>
    <s v="CMAU2508947"/>
    <x v="1"/>
    <d v="2023-11-14T00:00:00"/>
    <s v="Xingang"/>
    <x v="15"/>
    <s v="Gdańsk"/>
    <s v="AC Klienta - Taksim-pol"/>
    <s v="-"/>
    <s v="-"/>
    <n v="701.89"/>
    <s v="-"/>
    <s v="OFR XINGANG – GDANSK 20 DV: 680 USD_x000a_THC 205 EUR_x000a_DOC 55 EUR_x000a_ISPS 25 EUR_x000a_TRANSPORT 2900 PLN "/>
    <s v="-"/>
    <s v="-"/>
    <n v="701.89"/>
  </r>
  <r>
    <s v="ZL141/10/23"/>
    <x v="0"/>
    <s v="Barista"/>
    <s v="RO: 0155429"/>
    <s v="ECU"/>
    <x v="3"/>
    <x v="1"/>
    <n v="162"/>
    <s v="cases"/>
    <n v="1620"/>
    <n v="12.18"/>
    <s v="MNBU3710611"/>
    <x v="1"/>
    <d v="2023-11-23T00:00:00"/>
    <s v="Xingang"/>
    <x v="16"/>
    <s v="Gdańsk"/>
    <s v="Taksim-pol"/>
    <s v="-"/>
    <s v="-"/>
    <n v="1058.4000000000001"/>
    <s v="-"/>
    <s v="EXW TIANJIN : 930 USD_x000a_OFR TIANJIN – GDANSK : 30 USD WM *12,18 CBM = 365,40 USD_x000a_THC 20 USD WM* 12,18 CBM = 243,60 USD_x000a_DOC 20 USD_x000a_ODPRAWA 220 PLN_x000a_TRANSPORT GDN &gt; WARSZAWA: 950 PLN_x000a__x000a_TOTAL: 1559 USD + 1170 PLN "/>
    <m/>
    <m/>
    <n v="1058.4000000000001"/>
  </r>
  <r>
    <s v="ZL089/11/23"/>
    <x v="0"/>
    <s v="Barista"/>
    <s v="PFC17260/2023/MRY"/>
    <s v="PFC"/>
    <x v="0"/>
    <x v="1"/>
    <n v="13"/>
    <s v="package"/>
    <n v="212"/>
    <n v="1.843"/>
    <s v="TGHU3710153"/>
    <x v="1"/>
    <d v="2023-12-04T00:00:00"/>
    <s v="Shenzhen"/>
    <x v="17"/>
    <s v="Gdańsk"/>
    <s v="Taksim-pol"/>
    <s v="-"/>
    <s v="-"/>
    <n v="697.92"/>
    <m/>
    <s v="EXW via Yangjiang CFS: 350 USD_x000a_OF Yangjiang – Gdansk : 100 USD per shipment_x000a_THC 20 USD WM*1,81 CBM = 36,20 USD_x000a_DOC 20 USD_x000a_ODPRAWA 220 PLN_x000a_TRANSPORT GDN &gt;WAW : 475 PLN _x000a_TOTAL :    506,20 USD  + 695 PLN "/>
    <m/>
    <m/>
    <n v="697.92"/>
  </r>
  <r>
    <s v="ZL084/01/24"/>
    <x v="0"/>
    <s v="B2B"/>
    <s v="Lotnik PFC00967"/>
    <s v="PFC"/>
    <x v="1"/>
    <x v="1"/>
    <n v="20"/>
    <s v="ctn"/>
    <n v="299"/>
    <n v="1.1499999999999999"/>
    <s v="-"/>
    <x v="1"/>
    <d v="2024-01-20T00:00:00"/>
    <s v="-"/>
    <x v="18"/>
    <s v="Warszawa"/>
    <s v="AC Porath"/>
    <s v="-"/>
    <s v="-"/>
    <n v="4220.42"/>
    <s v="-"/>
    <s v="Koszty CN (fracht, handling, odprawa, dowóz,profit dla agenta) * = 2195 USD,_x000a_fracht jest na linii LH (Lufthansa), tt przelotu 3-5 dni, routing PVG(Shanghai)-FRA-WAW_x000a_*Other charge such magnet inspection/commodity inspection/buy export paper: case by case_x000a_Lokalne w PL:_x000a_Odprawa ostateczna w naszej AC 105 EUR_x000a_Auto do Kwidzynia 550 PLN"/>
    <s v="Koszty CN (fracht, handling, odprawa, dowóz,profit dla agenta) * = 1560 USD, fracht jest na linii LH (Lufthansa), tt przelotu 3-5 dni, routing PVG(Shanghai)-FRA-WAW_x000a_*Other charge such magnet inspection/commodity inspection/buy export paper: case by case_x000a__x000a_Lokalne w PL:_x000a_Odprawa ostateczna w naszej AC 250 PLN_x000a_Handling 300 PLN _x000a_Auto do Kwidzynia 530 PLN"/>
    <m/>
    <n v="4220.42"/>
  </r>
  <r>
    <s v="ZL150/11/23"/>
    <x v="0"/>
    <s v="JSD"/>
    <s v="ZT 071/2023 [RS/1/12] SZSE23120513 233599740"/>
    <s v="Maersk"/>
    <x v="1"/>
    <x v="0"/>
    <n v="1"/>
    <s v="40HC"/>
    <n v="4185"/>
    <n v="2"/>
    <s v="CAIU4618241"/>
    <x v="1"/>
    <d v="2023-12-12T00:00:00"/>
    <s v="Shanghai"/>
    <x v="19"/>
    <s v="Gdańsk"/>
    <s v="-"/>
    <s v="-"/>
    <s v="-"/>
    <n v="48.08"/>
    <s v="-"/>
    <s v="EXW: USD1025/40HQ_x000a_O/F: USD900/40HQ via MSK_x000a_THC 205 EUR_x000a_DOC 55 EUR_x000a_ISPS 25 EUR_x000a_ODPRAWA 220 PLN_x000a_Przeładunek ( zawiera podjęcie i zwrot kontenera) 1975 PLN _x000a_Transport GDN : 55-040 KOBIERZYCE : 1800 PLN "/>
    <s v="-"/>
    <s v="-"/>
    <n v="48.08"/>
  </r>
  <r>
    <s v="ZL063/11/23"/>
    <x v="0"/>
    <s v="Omega PHT"/>
    <s v="[RS4/11] SZSE23110803 233024935"/>
    <s v="Maersk"/>
    <x v="0"/>
    <x v="0"/>
    <n v="1"/>
    <s v="20DV"/>
    <n v="19100"/>
    <n v="1"/>
    <s v="MRKU7014000"/>
    <x v="1"/>
    <d v="2023-12-10T00:00:00"/>
    <s v="Qingdao"/>
    <x v="19"/>
    <s v="Gdańsk"/>
    <s v="-"/>
    <s v="-"/>
    <s v="-"/>
    <n v="721.48"/>
    <s v="-"/>
    <s v="OFR QINGDAO – GDAŃSK 20 DV: 650 USD_x000a_THC 205 EUR_x000a_DOC 55 EUR_x000a_ISPS 25 EUR_x000a_ODPRAWA 220 PLN_x000a__x000a_TRANSPORT 2200 PLN "/>
    <s v="-"/>
    <s v="-"/>
    <n v="721.48"/>
  </r>
  <r>
    <s v="ZL021/12/23"/>
    <x v="0"/>
    <s v="Tecweld"/>
    <s v="[RS1/12] / SZSE23120403 233041710"/>
    <s v="Maersk"/>
    <x v="0"/>
    <x v="0"/>
    <n v="1"/>
    <s v="20DV"/>
    <n v="6045.04"/>
    <n v="1"/>
    <s v="TTNU1297268"/>
    <x v="1"/>
    <d v="2023-12-22T00:00:00"/>
    <s v="Ningbo"/>
    <x v="19"/>
    <s v="Gdańsk"/>
    <s v="AC Klienta - Taksim-pol"/>
    <s v="-"/>
    <s v="-"/>
    <n v="576.12"/>
    <s v="-"/>
    <s v="OFR NINGBO – GDANSK 20 DV: 750 USD_x000a_THC 205 EUR_x000a_DOC 55 EUR_x000a_ISPS 25 EUR_x000a_TRANSPORT 20 DV KOLEJ : 2900 PLN + BAF na styczeń/luty"/>
    <s v="-"/>
    <s v="-"/>
    <n v="576.12"/>
  </r>
  <r>
    <s v="ZL137/11/23"/>
    <x v="0"/>
    <s v="SKZ"/>
    <s v="[RS6/11] SZSE23111402  233543163  "/>
    <s v="Maersk"/>
    <x v="0"/>
    <x v="0"/>
    <n v="1"/>
    <s v="20DV"/>
    <n v="12983.33"/>
    <n v="1"/>
    <s v="MSKU7799445"/>
    <x v="1"/>
    <d v="2023-12-22T00:00:00"/>
    <s v="Ningbo"/>
    <x v="19"/>
    <s v="Gdańsk"/>
    <s v="Tranzyt do Chrzanowa"/>
    <s v="-"/>
    <s v="-"/>
    <n v="837.01"/>
    <s v="-"/>
    <s v="O/F: USD750/20GP_x000a_THC 200 EUR_x000a_DOC 55 EUR_x000a_ISPS 25 EUR_x000a_T1 180 PLN_x000a_TRANSPORT 32-500 CHRZANÓW : 3600 PLN + BAF 4% "/>
    <m/>
    <m/>
    <n v="837.01"/>
  </r>
  <r>
    <s v="ZL125/10/23"/>
    <x v="0"/>
    <s v="MTM Profi"/>
    <s v="RO: 95074419"/>
    <s v="ECU"/>
    <x v="2"/>
    <x v="1"/>
    <n v="4"/>
    <s v="plt"/>
    <n v="3669"/>
    <n v="9.0589999999999993"/>
    <s v="-"/>
    <x v="1"/>
    <d v="2023-11-15T00:00:00"/>
    <s v="Brisbane"/>
    <x v="19"/>
    <s v="Gdańsk"/>
    <s v="Taksim-pol"/>
    <s v="-"/>
    <s v="-"/>
    <n v="1436.77"/>
    <s v="-"/>
    <s v="FOB BRISBANE via HONG KONG to GDAŃSK : 160 USD WM * 9,163CBM = 1466,08 USD_x000a_NON STACK : 536 USD_x000a_THC 20 USD WM *9,163 CBM = 183,26 USD_x000a_DOC 20 USD_x000a_ODPRAWA 220 PLN_x000a_TRANSPORT AUTO Z WINDĄ : 1600 PLN_x000a__x000a__x000a_TOTAL: 2205,34 USD + 1820 PLN "/>
    <s v="-"/>
    <s v="-"/>
    <n v="1436.77"/>
  </r>
  <r>
    <s v="ZL079/12/23"/>
    <x v="0"/>
    <s v="Krużel"/>
    <s v="RO: 0156702 CAN/GDN/00536_x000a_Ul. Spokojna 16,_x000a_33-100 Tarnów_x000a_Osoba kontaktowa: Bogusław Czeczot, tel: 604 950 079._x000a_Dostawa będzie na inny adres niż na fakturze, bo towar idzie do magazynu, ale to samo miasto. Pod spodem adres i dane osoby kontaktowej do odbioru. "/>
    <s v="ECU"/>
    <x v="2"/>
    <x v="1"/>
    <n v="11"/>
    <s v="ctn"/>
    <n v="3812"/>
    <n v="15.692"/>
    <s v="BMOU5514508"/>
    <x v="1"/>
    <d v="2023-12-11T00:00:00"/>
    <s v="Huangpu"/>
    <x v="20"/>
    <s v="Gdańsk"/>
    <s v="Taksim-pol"/>
    <s v="-"/>
    <s v="-"/>
    <n v="2499.6999999999998"/>
    <s v="-"/>
    <s v="OF + THC Nansha/Guanhzhou: 48 USD WM * 15,69 CBM = 753,12 USD +  podwyżka 4 USD WM*15,69CBM = 62,76 USD_x000a_DOC: 20 USD/BL_x000a_Odprawa: 220 PLN_x000a_TRANSPORT GDN &gt; TARNÓW : 2200 PLN "/>
    <s v="-"/>
    <s v="-"/>
    <n v="2499.6999999999998"/>
  </r>
  <r>
    <s v="ZL031/11/23"/>
    <x v="0"/>
    <s v="Barista"/>
    <s v="0156436 JEAGDN00022"/>
    <s v="ECU"/>
    <x v="0"/>
    <x v="1"/>
    <n v="8"/>
    <s v="plt"/>
    <n v="1281"/>
    <n v="12.1"/>
    <s v="TGBU9719562"/>
    <x v="1"/>
    <d v="2023-12-09T00:00:00"/>
    <s v="Jebel Ali"/>
    <x v="21"/>
    <s v="Gdańsk"/>
    <s v="Taksim-pol"/>
    <s v="-"/>
    <s v="-"/>
    <n v="2985.89"/>
    <s v="-"/>
    <s v="FOB JEBEL ALI –HAMBURG- GDAŃSK_x000a_OF USD 130 WM * 12,11 CBM = 1574,30 USD_x000a_THC USD 20 USD WM *12,11  = 242,20 USD_x000a_DOC USD 20_x000a_ODPRAWA 220 PLN_x000a_TRANSPORT : 1300 PLN  _x000a_TOTAL : 1836,50 USD + 1520 PLN "/>
    <s v="-"/>
    <s v="-"/>
    <n v="2985.89"/>
  </r>
  <r>
    <s v="ZL061/11/23"/>
    <x v="0"/>
    <s v="SKZ"/>
    <s v="[RS5/11] SZSE23110914 233212835"/>
    <s v="Maersk"/>
    <x v="2"/>
    <x v="0"/>
    <n v="1"/>
    <s v="20DV"/>
    <s v="-"/>
    <n v="1"/>
    <s v="HASU1437748"/>
    <x v="1"/>
    <d v="2023-12-11T00:00:00"/>
    <s v="Ningbo"/>
    <x v="22"/>
    <s v="Gdańsk"/>
    <s v="Tranzyt do Chrzanowa"/>
    <s v="-"/>
    <s v="-"/>
    <n v="359.01"/>
    <s v="-"/>
    <s v="O/F: USD750/20GP_x000a_THC 200 EUR_x000a_DOC 55 EUR_x000a_ISPS 25 EUR_x000a_T1 180 PLN_x000a_TRANSPORT 32-500 CHRZANÓW : 3600 PLN + BAF 4% _x000a_Insurance - 211,52 PLN"/>
    <m/>
    <m/>
    <n v="359.01"/>
  </r>
  <r>
    <s v="ZL086/02/24"/>
    <x v="0"/>
    <s v="APPLINK"/>
    <s v="Applink AWB 176-95065342 "/>
    <s v="-"/>
    <x v="3"/>
    <x v="1"/>
    <n v="60"/>
    <s v="ctn"/>
    <n v="1731"/>
    <s v="-"/>
    <s v="-"/>
    <x v="1"/>
    <s v="-"/>
    <s v="-"/>
    <x v="22"/>
    <s v="Warszawa"/>
    <s v="-"/>
    <s v="-"/>
    <s v="-"/>
    <n v="2672.91"/>
    <s v="-"/>
    <s v="Koszt odprawy importowej z 1. Poz. SAD w PL to_x000a__x000a_EUR 175_x000a__x000a_Rejestracja upoważnienia 125 EUR_x000a__x000a_KOSZTY TERMINALOWE / LOTNISKO : _x000a_0,70 PLN per kg/1731kg = 1211,70 PLN :  HANDLING lotniska dla Ładunki niebezpieczne w tym bez DGD - (w rozumieniu przepisów IATA)_x000a_350 PLN : HANDLING RS GROUP _x000a_1831 PLN per dzień: SKŁADOWE per dzień / to się dowiedziałem towar pod DGD_x000a_Przeładunek towar wrażliwe/ Ładunki niebezpieczne w tym bez DGD - (w rozumieniu przepisów IATA): 0,65 PLN per kg/1731 kg = 1125,15 PLN _x000a__x000a_TRANSPORT: 950 PLN "/>
    <s v="-"/>
    <s v="-"/>
    <n v="2672.91"/>
  </r>
  <r>
    <s v="ZL034/12/23"/>
    <x v="0"/>
    <s v="Tecweld"/>
    <s v="[RS3/12] SZSE23121503  010301212056  "/>
    <s v="Evergreen"/>
    <x v="0"/>
    <x v="0"/>
    <n v="2"/>
    <s v="40HC"/>
    <n v="20000"/>
    <n v="4"/>
    <s v="EITU1263263 - 9629 kg _x000a_EITU1230207 - 10795 kg"/>
    <x v="1"/>
    <d v="2023-12-28T00:00:00"/>
    <s v="Ningbo"/>
    <x v="23"/>
    <s v="Gdańsk"/>
    <s v="AC Klienta - Taksim-pol"/>
    <s v="Jinhaoda "/>
    <s v="-"/>
    <n v="9270.82"/>
    <s v="-"/>
    <s v="THC 205 EUR per container_x000a_OFR NINGBO - GDANSK - 2780 USD / 1780 USD_x000a_DOC 55 EUR per container_x000a_ISPS 25 EUR per container_x000a_TRANSPORT GDN &gt; BYTOM 40HC : 3400 PLN + BAF 3 % per container"/>
    <s v="1780 USD "/>
    <s v="-"/>
    <n v="9270.82"/>
  </r>
  <r>
    <s v="ZL041/12/23"/>
    <x v="0"/>
    <s v="Alkam"/>
    <s v="PFC18300/2023/MRY"/>
    <s v="PFC"/>
    <x v="1"/>
    <x v="1"/>
    <n v="98"/>
    <s v="ctn"/>
    <n v="1043.5"/>
    <n v="6.1239999999999997"/>
    <s v="FCIU5979015"/>
    <x v="1"/>
    <d v="2023-12-14T00:00:00"/>
    <s v="Shenzhen"/>
    <x v="24"/>
    <s v="Gdańsk"/>
    <s v="AC Klienta - DTA "/>
    <s v="-"/>
    <s v="-"/>
    <n v="246.59"/>
    <s v="-"/>
    <s v="EXW via Shenzhen CFS: 360 USD  / 290 USD_x000a_+ OF SHZ: 25 USD * 5,87 CBM = 146,75 USD / 22 USD _x000a_THC 15 USD * 5,87 CBM = 88,05 USD / 15 USD_x000a_DOC 20 USD / _x000a_Transport GDN &gt; Poznań auto z windą : 234 USD ( 930 PLN)_x000a_TOTAL : 848,80 USD"/>
    <s v="-"/>
    <s v="-"/>
    <n v="246.59"/>
  </r>
  <r>
    <s v="ZL139/11/23"/>
    <x v="0"/>
    <s v="Mebel Partner"/>
    <s v="PFC17905/2023/MRY"/>
    <s v="PFC"/>
    <x v="2"/>
    <x v="1"/>
    <n v="100"/>
    <s v="pkg"/>
    <n v="1111"/>
    <n v="2.12"/>
    <s v="FCIU5979015"/>
    <x v="1"/>
    <d v="2023-12-14T00:00:00"/>
    <s v="Shenzehn"/>
    <x v="24"/>
    <s v="Gdańsk"/>
    <s v="AC Klienta"/>
    <s v="-"/>
    <s v="-"/>
    <n v="172.51"/>
    <s v="-"/>
    <s v="OF: 42 usd w/m * 1,88 cbm = 78,96 USD_x000a_THC: 20 usd w/m * 1,88 cbm = 37,60 USD_x000a_Doc: 20 usd/bl_x000a_Odprawa 220 PLN + 20 PLN za każdy kolejny kod celny_x000a_Transport GDN&gt;BYDGOSZCZ : 1350 PLN /// OBA TRANSPORTY"/>
    <s v="-"/>
    <s v="-"/>
    <n v="172.51"/>
  </r>
  <r>
    <s v="ZL140/11/23"/>
    <x v="0"/>
    <s v="Mebel Partner"/>
    <s v="PFC17906/2023/MRY"/>
    <s v="PFC"/>
    <x v="2"/>
    <x v="1"/>
    <n v="6"/>
    <s v="plt"/>
    <n v="3868"/>
    <n v="5.75"/>
    <s v="FCIU5979015"/>
    <x v="1"/>
    <d v="2023-12-14T00:00:00"/>
    <s v="Guangzhou"/>
    <x v="24"/>
    <s v="Gdańsk"/>
    <s v="AC Klienta"/>
    <s v="-"/>
    <s v="-"/>
    <n v="388.19"/>
    <s v="-"/>
    <s v="OF: 42 usd w/m * 5,5 cbm = 231 USD_x000a_THC: 20 usd w/m * 5,5 cbm = 104 USD_x000a_Doc: 20 usd/bl_x000a_Odprawa 220 PLN + 20 PLN za każdy kolejny kod celny_x000a_Transport GDN&gt;BYDGOSZCZ : 1350 PLN /// OBA TRANSPORTY"/>
    <s v="-"/>
    <s v="-"/>
    <n v="388.19"/>
  </r>
  <r>
    <s v="ZL136/11/23"/>
    <x v="0"/>
    <s v="Tecweld"/>
    <s v="[RS7/11] SZSE23113007 233787844​ "/>
    <s v="Maersk"/>
    <x v="0"/>
    <x v="0"/>
    <n v="1"/>
    <s v="40HC"/>
    <s v="-"/>
    <n v="2"/>
    <s v="MRKU5299747"/>
    <x v="1"/>
    <d v="2023-12-16T00:00:00"/>
    <s v="Xingang"/>
    <x v="25"/>
    <s v="Gdańsk"/>
    <s v="AC Klienta - Taksim-pol"/>
    <s v="-"/>
    <s v="-"/>
    <n v="778.73"/>
    <m/>
    <s v=" OFR 40 HC XINGANG – GDAŃSK : 1175 USD_x000a_THC 205 EUR_x000a_DOC 55 EUR_x000a_ISPS 25 EUR_x000a_TRANSPORT GDN &gt; BYTOM : 3400 PLN + BAF 4 % "/>
    <m/>
    <m/>
    <n v="778.73"/>
  </r>
  <r>
    <s v="ZL138/11/23"/>
    <x v="0"/>
    <s v="Barista"/>
    <s v="PFC17643/2023/MRY"/>
    <s v="PFC"/>
    <x v="0"/>
    <x v="1"/>
    <n v="40"/>
    <s v="package"/>
    <n v="224"/>
    <n v="1.75"/>
    <s v="TXGU5620548"/>
    <x v="1"/>
    <d v="2023-12-26T00:00:00"/>
    <s v="Shanghai"/>
    <x v="25"/>
    <s v="Gdańsk"/>
    <s v="Taksim-pol"/>
    <s v="-"/>
    <s v="-"/>
    <n v="1007.84"/>
    <m/>
    <s v="OFR SHANGHAI – GDAŃSK : 145 USD WM *1,75 CBM = 253,75 USD   _x000a_THC 20 USD WM * 1,75 CBM = 35 USD _x000a_DOC 25 USD _x000a_ODPRAWA 220 PLN _x000a_TRANSPORT 450 PLN TRANSPORT 450 PLN "/>
    <m/>
    <m/>
    <n v="1007.84"/>
  </r>
  <r>
    <s v="ZL106/12/23"/>
    <x v="0"/>
    <s v="Tecweld"/>
    <s v="[RS6/12] SZSE23122010  NGP0712496"/>
    <s v="CMA"/>
    <x v="0"/>
    <x v="0"/>
    <n v="1"/>
    <s v="40HC"/>
    <n v="9250"/>
    <n v="2"/>
    <s v="TLLU7701170"/>
    <x v="1"/>
    <d v="2024-01-05T00:00:00"/>
    <s v="Ningbo"/>
    <x v="26"/>
    <s v="Gdańsk"/>
    <s v="AC Klienta - Taksim-pol"/>
    <s v="-"/>
    <s v="-"/>
    <n v="2676.18"/>
    <s v="-"/>
    <s v="O/F: USD5160/40HQ via CMA / 4660 USD_x000a__x000a_THC 205 EUR per container _x000a_DOC 55 EUR per container_x000a_ISPS 25 EUR per container _x000a_TRANSPORT GDN &gt; BYTOM 40HC : 3400 PLN + BAF 3 % per container"/>
    <s v="-"/>
    <s v="-"/>
    <n v="2676.18"/>
  </r>
  <r>
    <s v="ZL023/01/24"/>
    <x v="0"/>
    <s v="NETBUY"/>
    <s v="[RS11/1] SZSE24011007 "/>
    <s v="-"/>
    <x v="2"/>
    <x v="0"/>
    <n v="1"/>
    <s v="40HC"/>
    <n v="30480"/>
    <n v="2"/>
    <s v="HNKU6057730"/>
    <x v="1"/>
    <d v="2024-01-30T00:00:00"/>
    <s v="Shenzhen"/>
    <x v="26"/>
    <s v="Warszawa"/>
    <s v="33a"/>
    <s v="-"/>
    <s v="-"/>
    <n v="3299.93"/>
    <s v="-"/>
    <s v=" EXW Shenzhen 8000 USD All in z ubezpieczeniem + dodatkowo płatna odprawa celna "/>
    <s v="-"/>
    <s v="SZ436000334624/007"/>
    <n v="3299.93"/>
  </r>
  <r>
    <s v="ZL036/12/23"/>
    <x v="0"/>
    <s v="Platinum Property"/>
    <s v="[RS4/12] SZSE23122204 COSU6372450820 "/>
    <s v="COSCO"/>
    <x v="1"/>
    <x v="0"/>
    <n v="1"/>
    <s v="40HC"/>
    <n v="11950"/>
    <n v="2"/>
    <s v="TCKU7812460"/>
    <x v="1"/>
    <d v="2024-01-04T00:00:00"/>
    <s v="Tianjin"/>
    <x v="26"/>
    <s v="Gdańsk"/>
    <s v="Porath"/>
    <s v="-"/>
    <s v="-"/>
    <n v="6145.28"/>
    <s v="-"/>
    <s v="EXW WUQING  : 2760 USD/ per container _x000a_O/F: USD4975/40HQ via EMC_x000a_THC 275 EUR/ per container_x000a_DOC 55 EUR/ per container_x000a_ISPS 25 EUR/ per container_x000a_ODPRAWA 175 EUR / per zgłoszenie _x000a_TRANSPORT GDN &gt; RUMIA : 1400 PLN + BAF 3 % na dziś / per container"/>
    <s v="-"/>
    <s v="-"/>
    <n v="6145.28"/>
  </r>
  <r>
    <s v="ZL020/01/24"/>
    <x v="0"/>
    <s v="B2B"/>
    <s v="SMLCD24011115 "/>
    <s v="IGS"/>
    <x v="1"/>
    <x v="1"/>
    <n v="27"/>
    <s v="ctn"/>
    <n v="543.20000000000005"/>
    <n v="3.121"/>
    <s v="-"/>
    <x v="1"/>
    <d v="2024-01-22T00:00:00"/>
    <s v="Shenzhen"/>
    <x v="27"/>
    <s v="Warszawa"/>
    <s v="Porath"/>
    <s v="-"/>
    <s v="-"/>
    <n v="6271.93"/>
    <s v="-"/>
    <s v="EXW: 385USD _x000a_"/>
    <s v="-"/>
    <s v="-"/>
    <n v="6271.93"/>
  </r>
  <r>
    <s v="ZL113/12/23"/>
    <x v="0"/>
    <s v="Tecweld"/>
    <s v="PFC19689/2023/MRY"/>
    <s v="PFC"/>
    <x v="0"/>
    <x v="1"/>
    <n v="7"/>
    <s v="plt"/>
    <n v="2307"/>
    <n v="14.141999999999999"/>
    <s v="CSNU1617281"/>
    <x v="1"/>
    <d v="2023-01-09T00:00:00"/>
    <s v="Jiangmen"/>
    <x v="28"/>
    <s v="Gdańsk"/>
    <s v="AC Klienta - Taksim-pol"/>
    <s v="BOSJOB COMPANY LTD."/>
    <s v="-"/>
    <n v="1795.59"/>
    <s v="-"/>
    <s v="OFR JIANGMEN – GDAŃSK : 145 USD WM *14,39 CBM = 2086,55 USD _x000a_THC 20 USD WM*14,39 CBM = 287,80 USD_x000a_DOC 20 USD _x000a_TRANSPORT GDN&gt; BYTOM : 1650 PLN_x000a__x000a_TOTAL: 2394,35 USD + 1650 PLN_x000a_TOTAL: 1041,69 USD + 1650 PLN  "/>
    <s v="-"/>
    <s v="-"/>
    <n v="1795.59"/>
  </r>
  <r>
    <s v="ZL094/02/24"/>
    <x v="0"/>
    <s v="Alkam"/>
    <s v="PFC18287/2023/MRY"/>
    <s v="-"/>
    <x v="1"/>
    <x v="1"/>
    <n v="28"/>
    <s v="pkg"/>
    <n v="551.5"/>
    <n v="3.266"/>
    <s v="CSNU1617281"/>
    <x v="1"/>
    <d v="2024-01-09T00:00:00"/>
    <s v="Guangzhou"/>
    <x v="28"/>
    <s v="Gdańsk"/>
    <s v="AC Klienta - DTA "/>
    <s v="-"/>
    <s v="-"/>
    <n v="650.47"/>
    <s v="-"/>
    <s v="EXW Guangzhou: 295 USD_x000a_OFR GUANGHZOU - GDAŃSK : 145 USD WM *3,28 CBM = 475,60 USD  _x000a_THC 15 USD WM *3,28 CBM = 49,2 USD _x000a_DOC 20 USD _x000a_TRANSPORT GDN &gt; POZNAŃ auto z windą 158 USD"/>
    <s v="-"/>
    <s v="-"/>
    <n v="650.47"/>
  </r>
  <r>
    <s v="ZL022/01/24"/>
    <x v="0"/>
    <s v="NETBUY"/>
    <s v="[RS2/1] SZSE24010401 NGP0786362/NGP0786381"/>
    <s v="-"/>
    <x v="0"/>
    <x v="0"/>
    <n v="2"/>
    <s v="40HC"/>
    <s v="-"/>
    <n v="4"/>
    <s v="CMAU5877091_x000a_GESU6683130"/>
    <x v="1"/>
    <d v="2024-01-10T00:00:00"/>
    <s v="Ningbo"/>
    <x v="28"/>
    <s v="Gdańsk"/>
    <s v="33a"/>
    <s v="-"/>
    <s v="-"/>
    <n v="7414.23"/>
    <s v="-"/>
    <s v="ALL IN 6800 USD /per container"/>
    <s v="OFR 5000 USD_x000a_THC 515 EUR_x000a_DROGOWKA 3100 PLN"/>
    <s v="SZ436000334624/004"/>
    <n v="7414.23"/>
  </r>
  <r>
    <s v="ZL107/01/24"/>
    <x v="0"/>
    <s v="Serwis Kop"/>
    <s v="[RS7/1] SZSE24010906 234529066  IMP_SK_01_2024 SZSE24010906"/>
    <s v="-"/>
    <x v="0"/>
    <x v="0"/>
    <n v="2"/>
    <s v="20DV"/>
    <s v="-"/>
    <n v="2"/>
    <s v="MRSU0625885_x000a_MRSU0622952"/>
    <x v="1"/>
    <d v="2024-01-14T00:00:00"/>
    <s v="Shenzhen"/>
    <x v="29"/>
    <s v="Gdańsk"/>
    <s v="AC Klienta "/>
    <s v="-"/>
    <s v="-"/>
    <n v="910.31"/>
    <s v="-"/>
    <s v="OFR SHENZHEN – GDAŃSK 20DV : 3050 USD per cntr_x000a_THC 205 EUR per cntr_x000a_DOC 55 EUR per cntr_x000a_ISPS 25 EUR per cntr_x000a_TRANSPORT GDN &gt; RZESZÓW : 3350 PLN per cntr"/>
    <s v="USD2975/20GP "/>
    <s v="-"/>
    <n v="910.31"/>
  </r>
  <r>
    <s v="ZL065/12/23"/>
    <x v="0"/>
    <s v="Tecweld"/>
    <s v="[RS2/12] SZSE23121214 233881117 "/>
    <s v="Maersk"/>
    <x v="0"/>
    <x v="0"/>
    <n v="1"/>
    <s v="40HC"/>
    <n v="25673"/>
    <n v="2"/>
    <s v="HASU5000680"/>
    <x v="1"/>
    <d v="2023-01-09T00:00:00"/>
    <s v="Qingdao"/>
    <x v="0"/>
    <s v="Gdańsk"/>
    <s v="AC Klienta - Taksim-pol"/>
    <s v="QINGDAO EVER-LEADING TOOLS CO., LTD."/>
    <s v="-"/>
    <n v="5901.44"/>
    <s v="-"/>
    <s v="OFR QINGDAO – GDAŃSK 40HC : 2780 USD / 1370_x000a_THC 205 EUR_x000a_DOC 55 EUR_x000a_ISPS 25 EUR_x000a_TRANPORT 3400 PLN + BAF 3 % "/>
    <s v="1370 USD"/>
    <s v="-"/>
    <n v="5901.44"/>
  </r>
  <r>
    <s v="ZL035/12/23"/>
    <x v="0"/>
    <s v="Barista"/>
    <s v="RO: 0161214 TUT/GDY/04694"/>
    <s v="ECU"/>
    <x v="1"/>
    <x v="1"/>
    <n v="5"/>
    <s v="plt"/>
    <n v="723.3"/>
    <n v="5.61"/>
    <s v="IALU2244380"/>
    <x v="1"/>
    <d v="2023-12-14T00:00:00"/>
    <s v="TUTICORIN"/>
    <x v="30"/>
    <s v="Gdańsk"/>
    <s v="Taksim-pol"/>
    <s v="TAS TEXTILES INDIA PRIVATE LIMITED"/>
    <s v="Barista S.A."/>
    <n v="2275.27"/>
    <s v="-"/>
    <s v="EXW ANNUR-641653 : 790 USD_x000a_OFR TUTICORIN – GDAŃSK : 95 USD WM*3,8 CBM = 361 USD_x000a_+ 35 USD WM za EMS _x000a_THC 20 USD WM *3,8 CBM = 76 USD_x000a_DOC 20 USD_x000a_ODPRAWA 220 PLN_x000a_TRANSPORT : 650 PLN "/>
    <s v="-"/>
    <s v="-"/>
    <n v="2275.27"/>
  </r>
  <r>
    <s v="ZL018/01/24"/>
    <x v="0"/>
    <s v="Tecweld"/>
    <s v="[RS3/1] SZSE24010404 235248037  "/>
    <s v="Maersk"/>
    <x v="0"/>
    <x v="0"/>
    <n v="1"/>
    <s v="40HC"/>
    <n v="25993"/>
    <n v="2"/>
    <s v="TCNU7392568"/>
    <x v="1"/>
    <d v="2024-01-16T00:00:00"/>
    <s v="Shanghai"/>
    <x v="31"/>
    <s v="Gdańsk"/>
    <s v="AC Klienta - Taksim-pol"/>
    <s v="-"/>
    <s v="-"/>
    <n v="1476.94"/>
    <s v="-"/>
    <s v="O/F: USD5300/40HQ via COSCO_x000a_THC 205 EUR_x000a_DOC 55 EUR_x000a_ISPS 25 EUR_x000a__x000a_TRANSPORT GDN &gt; BYTOM 40HC : 3400 PLN + BAF 3 % per container"/>
    <n v="5000"/>
    <s v="-"/>
    <n v="1476.94"/>
  </r>
  <r>
    <s v="ZL046/01/24 (USD) + ZL113/03/24 (EUR) + ZL114/03/24 (PLN)"/>
    <x v="0"/>
    <s v="FOXPOL"/>
    <s v="[RS8/1] SZSE24010918 234491894"/>
    <s v="Maersk"/>
    <x v="0"/>
    <x v="0"/>
    <n v="1"/>
    <s v="40HC"/>
    <n v="13168"/>
    <n v="2"/>
    <s v="TCNU7799996"/>
    <x v="1"/>
    <d v="2024-01-16T00:00:00"/>
    <s v="Shanghai"/>
    <x v="32"/>
    <s v="Gdańsk"/>
    <s v="Complex SAD"/>
    <s v="CHENGDU GUTE MACHINERY WORKS CO.,"/>
    <s v="-"/>
    <n v="1499.09"/>
    <s v="-"/>
    <s v="THC 255 EUR_x000a_USD4900/40HQ via MSK_x000a_DOC 55 EUR_x000a_ISPS 25 EUR_x000a_ODPRAWA 250 PLN_x000a_TRANSPORT GDN &gt; TORUŃ 40HC : 1900 PLN "/>
    <s v="4700 USD"/>
    <m/>
    <n v="1499.09"/>
  </r>
  <r>
    <s v="ZL003/01/24 (USD) + ZL117/03/24 (EUR) + ZL118/03/24 (PLN)"/>
    <x v="0"/>
    <s v="MASZYNOHURT"/>
    <s v="[RS1/1] SZSE24010307 235094114 "/>
    <s v="Maersk"/>
    <x v="0"/>
    <x v="0"/>
    <n v="1"/>
    <s v="20DV"/>
    <n v="6400"/>
    <n v="1"/>
    <s v="MRKU8154644"/>
    <x v="1"/>
    <d v="2024-01-14T00:00:00"/>
    <s v="Xingang"/>
    <x v="32"/>
    <s v="Gdańsk"/>
    <s v="Complex SAD"/>
    <s v="HEBEI DAPU MACHINERY CO., LTD"/>
    <s v="-"/>
    <n v="1185.83"/>
    <s v="-"/>
    <s v="O/F: USD3200/20GP via COSCO / 3000 USD_x000a_THC 255 EUR_x000a_DOC 55 EUR_x000a_ISPS 25 EUR_x000a_ODPRAWA 250 PLN _x000a_TRANSPRORT GDN &gt; TORUŃ 20DV do 10 ton: 1800 PLN "/>
    <s v="-"/>
    <s v="-"/>
    <n v="1185.83"/>
  </r>
  <r>
    <s v="ZL030/01/24 "/>
    <x v="0"/>
    <s v="Italbike"/>
    <s v="[RS4/1] SZSE24010801 / 235079545"/>
    <s v="Maersk"/>
    <x v="0"/>
    <x v="0"/>
    <n v="1"/>
    <s v="20DV"/>
    <n v="6248"/>
    <n v="1"/>
    <s v="MRSU0515126"/>
    <x v="1"/>
    <d v="2024-01-17T00:00:00"/>
    <s v="Ningbo"/>
    <x v="32"/>
    <s v="Gdańsk"/>
    <s v="AC Klienta"/>
    <s v="-"/>
    <s v="-"/>
    <n v="494.8"/>
    <s v="-"/>
    <s v="3900 USD all in"/>
    <s v="-"/>
    <s v="-"/>
    <n v="494.8"/>
  </r>
  <r>
    <s v="ZL047/01/24 (USD) + ZL115/03/24 (EUR) + ZL116/03/24 (PLN)"/>
    <x v="0"/>
    <s v="MASZYNOHURT"/>
    <s v="[RS12/1] SZSE24011104 234628610  LP00003/03/24"/>
    <s v="Maersk"/>
    <x v="0"/>
    <x v="0"/>
    <n v="2"/>
    <s v="40HC"/>
    <n v="36000"/>
    <n v="4"/>
    <s v="MSKU1476872 - 22832 kg_x000a_MSKU1054814 - 13168 kg"/>
    <x v="1"/>
    <d v="2024-01-23T00:00:00"/>
    <s v="Shanghai"/>
    <x v="32"/>
    <s v="Gdańsk"/>
    <s v="Complex SAD"/>
    <s v="CHENGDU GUTE MACHINERY WORKS CO.,"/>
    <s v="-"/>
    <n v="2976.14"/>
    <s v="-"/>
    <s v="O/F: USD5150/40HQ "/>
    <s v="4950 USD"/>
    <m/>
    <n v="2976.14"/>
  </r>
  <r>
    <s v="ZL029/01/24"/>
    <x v="0"/>
    <s v="Alkam"/>
    <s v="PFC00236/2024/MRY FA2136"/>
    <s v="PFC"/>
    <x v="1"/>
    <x v="1"/>
    <n v="101"/>
    <s v="package"/>
    <n v="1972.33"/>
    <n v="9.3179999999999996"/>
    <s v="OOCU7069777"/>
    <x v="1"/>
    <d v="2024-01-22T00:00:00"/>
    <s v="Shenzhen"/>
    <x v="33"/>
    <s v="Gdańsk"/>
    <s v="AC Klienta - DTA "/>
    <s v="-"/>
    <s v="-"/>
    <n v="440.51"/>
    <s v="-"/>
    <s v="&gt; EXW Shenzhen: 315 USD_x000a_&gt; OF: 98 USD W/M *9,299 cbm = 911.30 USD_x000a_&gt; THC: 15 USD W/M*9,299 cbm = 139,48 USD_x000a_&gt; DOC: 20 USD/BL_x000a_&gt; Transport GDN &gt; POZNAŃ auto z windą : 275 USD_x000a_&gt;_x000a_&gt; TOTAL auto z windą: 1660,78 USD"/>
    <s v="EXW Shenzhen: 315 USD_x000a_OF: 93 USD W/M_x000a_THC: 10 USD W/M_x000a_DOC: 20 USD/BL_x000a_DSK: 7 USD"/>
    <s v="-"/>
    <n v="440.51"/>
  </r>
  <r>
    <s v="ZL049/01/24"/>
    <x v="0"/>
    <s v="HARDAWRE SYSTEM "/>
    <s v="[RS9/1]  273685482 "/>
    <s v="Maersk"/>
    <x v="0"/>
    <x v="0"/>
    <n v="1"/>
    <s v="40HC"/>
    <n v="6572"/>
    <n v="2"/>
    <s v="MRSU4275044"/>
    <x v="1"/>
    <d v="2024-02-02T00:00:00"/>
    <s v="Ningbo"/>
    <x v="33"/>
    <s v="Gdańsk"/>
    <s v="33a ENIGMA"/>
    <s v="-"/>
    <s v="-"/>
    <n v="1938.44"/>
    <s v="-"/>
    <s v="O/F: USD5300/40HQ via MSK_x000a_THC 235 EUR /  per container _x000a_DOC 55 EUR/  per container_x000a_ISPS 25 EUR/  per container_x000a_ODPRAWA 250 PLN //  per B/L_x000a_ _x000a_Transport GDN &gt; 58-200 dzierzoniów : 3700 + baf dla armatora MSK"/>
    <m/>
    <m/>
    <n v="1938.44"/>
  </r>
  <r>
    <s v="ZL015/01/24"/>
    <x v="0"/>
    <s v="MKV Brakowski"/>
    <s v="[RS6/1] SZSE240108112 234528975"/>
    <s v="Maersk"/>
    <x v="0"/>
    <x v="0"/>
    <n v="1"/>
    <s v="20DV"/>
    <n v="20187"/>
    <n v="1"/>
    <s v="MRSU0412529"/>
    <x v="1"/>
    <d v="2024-01-16T00:00:00"/>
    <s v="Qingdao"/>
    <x v="33"/>
    <s v="Gdańsk"/>
    <s v="Taksim-pol"/>
    <s v="-"/>
    <s v="-"/>
    <n v="776.63"/>
    <s v="-"/>
    <s v="O/F: USD3150/20GP via MSK // 3000 USD_x000a_THC 205 EUR_x000a_DOC 55 EUR_x000a_ISPS 25 EUR_x000a_ODPRAWA 220 PLN_x000a_TRANSPORT GDN &gt; OSIELSKO 20DV: 1900 PLN _x000a_składka: 260,74 PLN"/>
    <s v="3000 USD"/>
    <s v="SZ436000334624/005"/>
    <n v="776.63"/>
  </r>
  <r>
    <s v="ZL086/01/24 (USD) + ZL152/03/24 (EUR) + ZL153/03/24 (PLN) - DO KONTENERA TCKU6225812_x000a_ZL154/03/24 (USD) + ZL155/03/24 (EUR) + ZL156/03/24 (PLN) - DO KONTENERA TCNU6549713"/>
    <x v="0"/>
    <s v="ALLBAG"/>
    <s v="[RS16/1] SZSE24011708 NGP0721650 / NGP0721649 "/>
    <s v="CMA"/>
    <x v="0"/>
    <x v="0"/>
    <n v="2"/>
    <s v="40HC"/>
    <n v="18911.2"/>
    <n v="4"/>
    <s v="TCKU6225812_x000a_TCNU6549713"/>
    <x v="1"/>
    <d v="2024-01-31T00:00:00"/>
    <s v="Ningbo"/>
    <x v="34"/>
    <s v="Gdańsk"/>
    <s v="art 33a anna@acspedycja.pl"/>
    <s v="SKYLARK NETWORK CO.,LTD."/>
    <s v="Allbag Tomasz Woźniak Sp. K."/>
    <n v="2522.67"/>
    <s v="-"/>
    <s v="USD5100/40HQ via EMC_x000a_Ningbo ETD: 28th.Jan with SI cut off date 24th.Jan_x000a_THC 205 EUR per container_x000a_DOC 55 EUR per container_x000a_ISPS 25 EUR per container_x000a_ODPRAWA 250 PLN per BL_x000a_TRANSPORT drogowy GDN&gt; Świnna Poręba 127a, 34-106 Mucharz:  4300 PLN per container _x000a_TRANSPORT kolejowy GDN &gt; Świnna Poręba 127a, 34-106 Mucharz: 4000 per container_x000a_INSURANCE 350 PLN "/>
    <s v="4870 USD_x000a_"/>
    <s v="TAK SZ436000334624/008"/>
    <n v="2522.67"/>
  </r>
  <r>
    <s v="ZL108/01/24"/>
    <x v="0"/>
    <s v="Serwis Kop"/>
    <s v="[RS19/1] SZSE24011801 NGP0879654"/>
    <s v="CMA"/>
    <x v="0"/>
    <x v="0"/>
    <n v="3"/>
    <s v="20DV"/>
    <s v="-"/>
    <n v="3"/>
    <s v="CMAU2854976_x000a_CMAU2834394_x000a_CMAU2860310"/>
    <x v="1"/>
    <d v="2024-01-31T00:00:00"/>
    <s v="Ningbo"/>
    <x v="34"/>
    <s v="Gdańsk"/>
    <s v="AC z Rzeszowa"/>
    <s v="-"/>
    <s v="-"/>
    <n v="2479.39"/>
    <s v="-"/>
    <s v="O/F: USD3050/20GP via MSK_x000a_THC 205 EUR per cntr_x000a_DOC 55 EUR per cntr_x000a_ISPS 25 EUR per cntr_x000a_TRANSPORT GDN &gt; RZESZÓW : 3450 PLN per cntr ( kolej jest ważna do 31.03.2024) "/>
    <s v="O/F: USD2950/20GP via MSK_x000a_THC 205 EUR per cntr_x000a_DOC 55 EUR per cntr_x000a_ISPS 25 EUR per cntr_x000a_TRANSPORT GDN &gt; RZESZÓW : 3450 PLN per cntr ( kolej jest ważna do 31.03.2024) "/>
    <m/>
    <n v="2479.39"/>
  </r>
  <r>
    <s v="ZL045/01/24 (USD) + ZL168/03/24 (EUR) + ZL169/03/24 (PLN)"/>
    <x v="0"/>
    <s v="Celman"/>
    <s v="[RS15/1] SZSE24011601 NGP0740743"/>
    <s v="CMA"/>
    <x v="0"/>
    <x v="0"/>
    <n v="1"/>
    <s v="40HC"/>
    <n v="11080"/>
    <n v="2"/>
    <s v="TCLU1718428"/>
    <x v="1"/>
    <d v="2024-01-31T00:00:00"/>
    <s v="Ningbo "/>
    <x v="34"/>
    <s v="Gdańsk"/>
    <s v="33a ENIGMA"/>
    <s v="SHANTOU CHENGHAI AJB TOYS LIMITED"/>
    <s v="-"/>
    <n v="961.56"/>
    <s v="-"/>
    <s v="O/F: USD5100/40HQ via MSK_x000a_ETD: 16th.Jan with SI cut off date 12th.Jan_x000a_THC 205 EUR_x000a_DOC 55 EUR_x000a_ISPS 25 EUR_x000a_ODPRAWA : PRZEZ PANA AGENCJA _x000a_TRANSPORT GDAŃSK &gt; GDYNIA : 1100 PLN"/>
    <s v="O/F: USD4900/40HQ via MSK"/>
    <s v="-"/>
    <n v="961.56"/>
  </r>
  <r>
    <s v="ZL147/10/23"/>
    <x v="0"/>
    <s v="Platinum Property"/>
    <s v="[RS5/12] SZSE23122605 010301253062"/>
    <s v="Evergreen"/>
    <x v="1"/>
    <x v="0"/>
    <n v="1"/>
    <s v="40HC"/>
    <n v="12590"/>
    <n v="2"/>
    <s v="EITU1332214"/>
    <x v="1"/>
    <d v="2024-01-14T00:00:00"/>
    <s v="Tianjin"/>
    <x v="34"/>
    <s v="Gdańsk"/>
    <s v="AC Porath"/>
    <s v="-"/>
    <s v="-"/>
    <n v="4012.78"/>
    <s v="-"/>
    <s v="EXW Cost: USD975/40HQ_x000a_O/F: USD4975/40HQ via EMC_x000a_THC 275 EUR/ per container_x000a_DOC 55 EUR/ per container_x000a_ISPS 25 EUR/ per container_x000a_ODPRAWA 175 EUR / per zgłoszenie _x000a_TRANSPORT GDN &gt; RUMIA : 1400 PLN + BAF 3 % na dziś / per container"/>
    <s v="EXW Cost: USD975/40HQ_x000a_O/F: USD5175/40HQ via EMC"/>
    <s v="-"/>
    <n v="4012.78"/>
  </r>
  <r>
    <s v="ZL091/01/24"/>
    <x v="0"/>
    <s v="Tecweld"/>
    <s v="[RS17/1] SZSE24011709 235550915 "/>
    <s v="Maersk"/>
    <x v="0"/>
    <x v="0"/>
    <n v="1"/>
    <s v="40HC"/>
    <n v="12030"/>
    <n v="2"/>
    <s v="MRSU3736368"/>
    <x v="1"/>
    <d v="2024-01-24T00:00:00"/>
    <s v="Qingdao"/>
    <x v="35"/>
    <s v="Gdańsk"/>
    <s v="AC Klienta - Taksim-pol"/>
    <s v="-"/>
    <s v="-"/>
    <n v="659.47"/>
    <s v="-"/>
    <s v="OFR QINGDAO – GDAŃSK  40HC : 5150 USD _x000a_THC 205 EUR_x000a_DOC 55 EUR_x000a_ISPS 25 EUR_x000a_TRANSPORT GDN &gt; BYTOM : 3400 PLN + BAF 0%"/>
    <s v="5000 USD"/>
    <m/>
    <n v="659.47"/>
  </r>
  <r>
    <s v="ZL043/12/23"/>
    <x v="0"/>
    <s v="Tecweld"/>
    <s v="RO: 0161467 NAV/GDY/04702"/>
    <s v="ECU"/>
    <x v="0"/>
    <x v="1"/>
    <n v="4"/>
    <s v="plt"/>
    <n v="2072.23"/>
    <n v="3.8010000000000002"/>
    <s v="TGHU6401651"/>
    <x v="1"/>
    <d v="2023-12-20T00:00:00"/>
    <s v="Nhava Sheva"/>
    <x v="36"/>
    <s v="Gdańsk"/>
    <s v="AC Klienta - Taksim-pol"/>
    <s v="Welspring"/>
    <s v="-"/>
    <n v="434.36"/>
    <s v="-"/>
    <s v="FOB MUMBAI/NHAVA SHEVA – GDANSK: 39 USD WM* 3,99CBM = 150 USD  / 25 USD_x000a_THC 20 USD WM*3,99 CBM = 79,80 USD / 15 USD_x000a_DOC 20 USD / 18 USD_x000a_TRANSPORT GDN &gt; BYTOM: 1100 PLN / 1000 PLN"/>
    <s v="-"/>
    <s v="-"/>
    <n v="434.36"/>
  </r>
  <r>
    <s v="ZL050/12/23"/>
    <x v="0"/>
    <s v="Mebel Partner"/>
    <s v="[RS5/1] SZSE24010514 235009436 "/>
    <s v="Maersk"/>
    <x v="1"/>
    <x v="0"/>
    <n v="1"/>
    <s v="20DV"/>
    <n v="17220"/>
    <n v="1"/>
    <s v="MRSU0566925"/>
    <x v="1"/>
    <d v="2024-01-14T00:00:00"/>
    <s v="Nansha"/>
    <x v="36"/>
    <s v="Gdańsk"/>
    <s v="AC Klienta"/>
    <s v="-"/>
    <s v="-"/>
    <n v="728.65"/>
    <s v="-"/>
    <s v="O/F: USD3250/20GP via MSK / 3100 USD_x000a_THC GDAŃSK 205 EUR_x000a_DOC 55 EUR_x000a_ISPS 25 EUR  _x000a_TRANSPORT GDN &gt; BYDGOSZCZ 20 DV : 1950 PLN "/>
    <s v="-"/>
    <s v="-"/>
    <n v="728.65"/>
  </r>
  <r>
    <s v="ZL079/01/24"/>
    <x v="0"/>
    <s v="MKV Brakowski"/>
    <s v="PFC00243/2024/MRY"/>
    <s v="PFC"/>
    <x v="0"/>
    <x v="1"/>
    <n v="14"/>
    <s v="package"/>
    <n v="12420"/>
    <n v="17.846"/>
    <s v="TEMU6271900"/>
    <x v="1"/>
    <d v="2024-01-27T00:00:00"/>
    <s v="Shanghai"/>
    <x v="37"/>
    <s v="Gdańsk"/>
    <s v="Taksim-pol"/>
    <s v="YANCHENG TIANTE VALVE CO.,LTD."/>
    <s v="-"/>
    <n v="663.99"/>
    <s v="-"/>
    <s v="OFR SHANGHAI – GDAŃSK : 97 USD WM*16,199CBM = 1571,40 USD _x000a_THC GDAŃSK : 20 USD WM *16,199CBM= 324 USD _x000a_DOC 20 USD_x000a_ODPRAWA 220 PLN_x000a_TRANSPORT GDN &gt; OSIELSKO : 1400 PLN _x000a__x000a_TOTAL: 1915,40 USD + 1620 PLN "/>
    <s v="95 USD WM"/>
    <s v="???"/>
    <n v="663.99"/>
  </r>
  <r>
    <s v="ZL019/01/24"/>
    <x v="0"/>
    <s v="SKZ"/>
    <s v="[RS13/1] SZSE24011113  NPG086473 "/>
    <s v="CMA"/>
    <x v="0"/>
    <x v="0"/>
    <n v="1"/>
    <s v="20DV"/>
    <n v="12983.33"/>
    <n v="1"/>
    <s v="XINU1537016"/>
    <x v="1"/>
    <d v="2024-02-05T00:00:00"/>
    <s v="Ningbo"/>
    <x v="38"/>
    <s v="Gdańsk"/>
    <s v="T1"/>
    <s v="-"/>
    <s v="-"/>
    <n v="1304.68"/>
    <s v="-"/>
    <s v="O/F: USD3300/20GP via CMA_x000a_THC 200 EUR_x000a_DOC 55 EUR_x000a_ISPS 25 EUR_x000a_T1 180 PLN_x000a_ _x000a_TRANSPORT 32-500 CHRZANÓW : 3600 PLN + BAF 4% "/>
    <s v="INSURANCE: 285"/>
    <s v="SZ436000334624/006"/>
    <n v="1304.68"/>
  </r>
  <r>
    <s v="ZL021/01/24"/>
    <x v="0"/>
    <s v="Omega PHT"/>
    <s v="RO: 0165324"/>
    <s v="-"/>
    <x v="0"/>
    <x v="1"/>
    <n v="5"/>
    <s v="plt"/>
    <n v="6985"/>
    <n v="3.04"/>
    <s v="MSKU1667610"/>
    <x v="1"/>
    <d v="2024-01-30T00:00:00"/>
    <s v="Xingang"/>
    <x v="39"/>
    <s v="Gdańsk"/>
    <s v="-"/>
    <s v="-"/>
    <s v="-"/>
    <n v="594.37"/>
    <s v="-"/>
    <s v="OFR XINGANG -GDANSK: 95 USD WM *6,98 = 663,10 USD_x000a_THC 20 USD WM *6,98 = 139,600 USD _x000a_DOC 20 USD _x000a_ODPRAWA 220 PLN_x000a_TRANSPORT GDN &gt; PŁOCK : 1500 PLN _x000a_ _x000a_TOTAL: 822,70 USD + 1720 PLN "/>
    <s v="OFR 80 USD WM_x000a_THC 18 USD WM_x000a_DOC 20 USD "/>
    <s v="-"/>
    <n v="594.37"/>
  </r>
  <r>
    <s v="ZL078/01/24"/>
    <x v="0"/>
    <s v="MKV Brakowski"/>
    <s v="PFC00330/2024/MRY"/>
    <s v="PFC"/>
    <x v="0"/>
    <x v="1"/>
    <n v="4"/>
    <s v="plt"/>
    <n v="4868"/>
    <n v="4.59"/>
    <s v="SEGU6811766"/>
    <x v="1"/>
    <d v="2024-02-01T00:00:00"/>
    <s v="Qingdao"/>
    <x v="40"/>
    <s v="Gdańsk"/>
    <s v="Taksim-pol"/>
    <s v="FEIXIAN DALU VALVE CO.,LTD"/>
    <s v="-"/>
    <n v="465"/>
    <s v="-"/>
    <s v="OFR QINGDAO – GDAŃSK : 97 USD WM * 4,86 = 471, 42 USD _x000a_THC 20 USD WM * 4,86 = 97,20 USD _x000a_DOC 20 USD _x000a_ODPRAWA 220 PLN_x000a_TRANSPORT GDN &gt; OSIELSKO : 1100 PLN _x000a__x000a_TOTAL: 588, 62 USD "/>
    <s v="OF: 86 USD W/M_x000a_THC: 10 USD W/M_x000a_DOC: 20 USD_x000a_DSK: 7 USD"/>
    <s v="NIE"/>
    <n v="465"/>
  </r>
  <r>
    <s v="ZL122/01/24"/>
    <x v="0"/>
    <s v="Tecweld"/>
    <s v="[RS20/1] SZSE24012205 235663263 "/>
    <s v="Maersk"/>
    <x v="0"/>
    <x v="0"/>
    <n v="1"/>
    <s v="40HC"/>
    <n v="24244"/>
    <n v="2"/>
    <s v="TCLU9291667"/>
    <x v="1"/>
    <d v="2024-02-11T00:00:00"/>
    <s v="Ningbo"/>
    <x v="40"/>
    <s v="Gdańsk"/>
    <s v="AC Klienta - Taksim-pol"/>
    <s v="-"/>
    <s v="-"/>
    <n v="1276"/>
    <s v="-"/>
    <s v="O/F: USD5050/40HQ via MSK_x000a_ETD: 6th.Feb with SI cut off date 2nd.Feb_x000a_THC 205 EUR_x000a_DOC 55 EUR_x000a_ISPS 25 EUR_x000a__x000a_TRANSPORT GDN &gt; BYTOM 40HC : 3400 PLN + BAF 3 % per container"/>
    <s v="O/F: USD4800/40HQ via MSK"/>
    <s v="-"/>
    <n v="1276"/>
  </r>
  <r>
    <s v="ZL124/01/24"/>
    <x v="0"/>
    <s v="Tecweld"/>
    <s v="[RS23/1] SZSE24012310 235656257"/>
    <s v="Maersk"/>
    <x v="0"/>
    <x v="0"/>
    <n v="1"/>
    <s v="40HC"/>
    <n v="18725.5"/>
    <n v="2"/>
    <s v="MRSU4916831"/>
    <x v="1"/>
    <d v="2024-02-11T00:00:00"/>
    <s v="Ningbo"/>
    <x v="40"/>
    <s v="Gdańsk"/>
    <s v="AC Klienta - Taksim-pol"/>
    <s v="-"/>
    <s v="-"/>
    <n v="1074"/>
    <s v="-"/>
    <s v="O/F: USD5000/40HQ via MSK_x000a_ETD: 6th.Feb with SI cut off date 2nd.Feb_x000a_THC 205 EUR_x000a_DOC 55 EUR_x000a_ISPS 25 EUR_x000a__x000a_TRANSPORT GDN &gt; BYTOM 40HC : 3400 PLN + BAF 3 % per container"/>
    <s v="O/F: USD4800/40HQ via MSK"/>
    <s v="-"/>
    <n v="1074"/>
  </r>
  <r>
    <s v="ZL083/01/24"/>
    <x v="0"/>
    <s v="Alkam"/>
    <s v="PFC00925/2024/MRY"/>
    <s v="-"/>
    <x v="0"/>
    <x v="1"/>
    <n v="35"/>
    <s v="ctn"/>
    <n v="712.3"/>
    <n v="3.496"/>
    <s v="CSNU1204565"/>
    <x v="1"/>
    <d v="2024-02-11T00:00:00"/>
    <s v="Shenzhen"/>
    <x v="41"/>
    <s v="Gdańsk"/>
    <s v="AC Klienta - DTA "/>
    <s v="-"/>
    <s v="-"/>
    <n v="477.54"/>
    <s v="-"/>
    <s v="EXW SHZ: 280 USD_x000a_OFR SHENZHEN - GDAŃSK: 98 USD WM * 3,33CBM = 326,34 USD _x000a_THC GDAŃSK 15 USD WM* 3,33 CBM = 49,95 USD _x000a_DOC 20 USD _x000a_TRANSPORT GDN &gt; POZNAŃ: 172 USD _x000a_ _x000a_TOTAL: 848,29 USD "/>
    <s v="EXW SHZ: 260 USD_x000a_97 USD WM"/>
    <m/>
    <n v="477.54"/>
  </r>
  <r>
    <s v="ZL095/02/24"/>
    <x v="0"/>
    <s v="Alkam"/>
    <s v="PFC00373/2024/MRY N20231201DX8336"/>
    <s v="-"/>
    <x v="1"/>
    <x v="1"/>
    <n v="15"/>
    <s v="ctn"/>
    <n v="256.89999999999998"/>
    <n v="1.548"/>
    <s v="CSNU1204565"/>
    <x v="1"/>
    <d v="2024-02-11T00:00:00"/>
    <s v="Guangzhou"/>
    <x v="41"/>
    <s v="Gdańsk"/>
    <s v="AC Klienta - DTA "/>
    <s v="-"/>
    <s v="-"/>
    <n v="217"/>
    <s v="-"/>
    <s v="EXW GZH: 280 USD_x000a_OF GZH: 115 USD W/M * 1,70 USD = 195,50 USD_x000a_THC: 25 USD per shpt_x000a_DOC: 20 USD/BL_x000a_TRANSPORT auto z windą POZNAŃ: 120 USD  _x000a_ _x000a_TOTAL: 640,50USD dla neutral stackable cargo"/>
    <s v="EXW GZH: 260 USD_x000a_OF GZH: 112 USD W/M_x000a_THC: 15 USD/LS_x000a_DOC: 0_x000a_DSK: 7 USD/DOC"/>
    <s v="-"/>
    <n v="217"/>
  </r>
  <r>
    <s v="ZL186/03/24"/>
    <x v="0"/>
    <s v="DALTON"/>
    <s v="AIR PROFICARGO 7756 3356 1402"/>
    <s v="-"/>
    <x v="2"/>
    <x v="1"/>
    <n v="1"/>
    <s v="package"/>
    <n v="48"/>
    <s v="-"/>
    <s v="-"/>
    <x v="1"/>
    <s v="-"/>
    <s v="Warszawa"/>
    <x v="42"/>
    <s v="-"/>
    <s v="AC Klienta"/>
    <s v="-"/>
    <s v="-"/>
    <s v="-"/>
    <s v="-"/>
    <n v="2350"/>
    <s v="1850 PLN"/>
    <s v="-"/>
    <s v="-"/>
  </r>
  <r>
    <s v="ZL123/01/24 (USD) + ZL235/03/24 (EUR) + ZL236/03/24 (PLN)"/>
    <x v="0"/>
    <s v="ALLBAG"/>
    <s v="[RS24/1] SZSE24012314 010400105282"/>
    <s v="EMC"/>
    <x v="0"/>
    <x v="0"/>
    <n v="1"/>
    <s v="40HC"/>
    <n v="16272.7"/>
    <n v="2"/>
    <s v="DRYU9249110"/>
    <x v="1"/>
    <d v="2024-02-12T00:00:00"/>
    <s v="Ningbo"/>
    <x v="42"/>
    <s v="Gdańsk"/>
    <s v="art 33a anna@acspedycja.pl"/>
    <s v="SKYLARK NETWORK CO.,LTD."/>
    <s v="Allbag Tomasz Woźniak Sp. K."/>
    <n v="1464"/>
    <s v="-"/>
    <s v="O/F: USD5100/40HQ via EMC_x000a_ETD: 8th.Feb with SI cut off date 4th.Feb_x000a_ETA: 12th.Mar_x000a_T/T: 34 Days _x000a_THC 205 EUR per container_x000a_DOC 55 EUR per container_x000a_ISPS 25 EUR per container_x000a_TRANSPORT drogowy GDN&gt; Świnna Poręba 127a, 34-106 Mucharz:  4300 PLN per container _x000a_TRANSPORT kolejowy GDN &gt; Świnna Poręba 127a, 34-106 Mucharz: 4000 per container_x000a_INSURANCE 325 PLN"/>
    <s v="O/F: USD4850/40HQ via EMC_x000a_273,65 PLN"/>
    <s v="SZ436000334624/010"/>
    <n v="1464"/>
  </r>
  <r>
    <s v="ZL141/01/24"/>
    <x v="0"/>
    <s v="Madejski"/>
    <s v="PFC01379 LCL 7 palet - FOB NINGNO PM240122 "/>
    <s v="-"/>
    <x v="0"/>
    <x v="1"/>
    <n v="7"/>
    <s v="plt"/>
    <n v="5942.83"/>
    <n v="5.62"/>
    <s v="EGSU9332342"/>
    <x v="1"/>
    <d v="2024-02-02T00:00:00"/>
    <s v="Ningbo"/>
    <x v="43"/>
    <s v="Gdańsk"/>
    <s v="AC Klienta"/>
    <s v="-"/>
    <s v="-"/>
    <n v="731.19"/>
    <s v="-"/>
    <s v="OFR NINGBO – GDAŃSK : 97 USD WM * 5,9CBM = 572,30 USD _x000a_THC 20 USD WM * 5,9 CBM = 118 USD _x000a_DOC 25 USD _x000a_TRANSPORT GDN &gt; KRAKÓW : 1900 PLN _x000a__x000a_TOTAL :  715,30 USD + 1900 PLN "/>
    <s v="90 USD WM "/>
    <s v="-"/>
    <n v="731.19"/>
  </r>
  <r>
    <s v="ZL044/01/24"/>
    <x v="0"/>
    <s v="Italbike"/>
    <s v="[RS10/1] SZSE24011003 TJN0319256 "/>
    <s v="CMA"/>
    <x v="0"/>
    <x v="0"/>
    <n v="1"/>
    <s v="20DV"/>
    <n v="6459"/>
    <n v="1"/>
    <s v="CMAU2814130"/>
    <x v="1"/>
    <d v="2024-01-31T00:00:00"/>
    <s v="Xingang"/>
    <x v="44"/>
    <s v="Gdańsk"/>
    <s v="AC Klienta"/>
    <s v="-"/>
    <s v="-"/>
    <n v="693"/>
    <s v="-"/>
    <s v="O/F: USD4100/20GP via MSK -"/>
    <s v="3100 USD"/>
    <m/>
    <n v="693"/>
  </r>
  <r>
    <s v="ZL190/02/24 (EUR) + ZL228/03/24 (PLN) + ZL229/03/24 (USD)"/>
    <x v="1"/>
    <s v="Unicell"/>
    <s v="Booking number: 237323747"/>
    <s v="-"/>
    <x v="0"/>
    <x v="0"/>
    <n v="1"/>
    <s v="40HC"/>
    <n v="24340"/>
    <n v="2"/>
    <s v="MSKU0223442"/>
    <x v="1"/>
    <d v="2024-03-25T00:00:00"/>
    <s v="Gdansk"/>
    <x v="45"/>
    <s v="Shanghai"/>
    <s v="AC Klienta"/>
    <s v="-"/>
    <s v="-"/>
    <s v="-"/>
    <s v="-"/>
    <s v="Podjęcie Wasilków – Gdańsk : 2800 PLN  (ze stopem na odprawę)_x000a_Jeżeli chodzi o wagę w drogówce to za każda 1 tonę extra należy dopłacić 200 PLN_x000a__x000a_DOC 55 EUR_x000a_VGM 35 EUR _x000a_THC 150 EUR_x000a_GDK – SHANGHAI 40 HC: 950 USD "/>
    <s v="-"/>
    <s v="-"/>
    <s v="-"/>
  </r>
  <r>
    <s v="ZL113/01/24 (USD) + ZL180/03/24 (EUR) + ZL181/03/24 (PLN)"/>
    <x v="0"/>
    <s v="Celman"/>
    <s v="[RS22/1] SZSE24012305 010400075634 "/>
    <s v="EMC"/>
    <x v="0"/>
    <x v="0"/>
    <n v="1"/>
    <s v="40HC"/>
    <n v="9770"/>
    <n v="2"/>
    <s v="EGSU9465828"/>
    <x v="2"/>
    <d v="2024-02-17T00:00:00"/>
    <s v="Yantian"/>
    <x v="42"/>
    <s v="Gdańsk"/>
    <s v="33a ENIGMA"/>
    <s v="SHANTOU CHENGHAI AJB TOYS LIMITED"/>
    <s v="-"/>
    <n v="1240"/>
    <s v="-"/>
    <s v="O/F: USD5100/40HQ via MSK_x000a_THC 205 EUR_x000a_DOC 55 EUR_x000a_ISPS 25 EUR_x000a_ODPRAWA : PRZEZ PANA AGENCJA_x000a_TRANSPORT GDAŃSK &gt; GDYNIA : 1100 PLN"/>
    <s v="O/F: USD4830/40HQ via MSK"/>
    <s v="-"/>
    <n v="1240"/>
  </r>
  <r>
    <s v="ZL077/01/24 (USD) + ZL230/03/24 (EUR) + ZL231/03/24 (PLN)"/>
    <x v="0"/>
    <s v="Celman"/>
    <s v="[RS18/1] SZSE24011715 010400059078"/>
    <s v="EMC"/>
    <x v="0"/>
    <x v="0"/>
    <n v="1"/>
    <s v="40HC"/>
    <n v="8090"/>
    <n v="2"/>
    <s v="TGBU8676358"/>
    <x v="2"/>
    <d v="2024-02-17T00:00:00"/>
    <s v="Yantian"/>
    <x v="42"/>
    <s v="Gdańsk"/>
    <s v="33a ENIGMA"/>
    <s v="SHANTOU CHENGHAI AJB TOYS LIMITED"/>
    <s v="-"/>
    <n v="961"/>
    <s v="-"/>
    <s v="5100 USD"/>
    <s v="4850 USD"/>
    <s v="-"/>
    <n v="961"/>
  </r>
  <r>
    <s v="ZL093/11/23"/>
    <x v="0"/>
    <s v="MTM Profi"/>
    <s v="RO: 0160978 MEL/GDN/0065763 BNE/GDN/00086"/>
    <s v="ECU"/>
    <x v="2"/>
    <x v="1"/>
    <n v="6"/>
    <s v="plt"/>
    <n v="6002"/>
    <n v="13.587"/>
    <s v="UETU5568593 -&gt; CXRU1496689_x000a_"/>
    <x v="2"/>
    <d v="2024-01-09T00:00:00"/>
    <s v="Brisbane"/>
    <x v="46"/>
    <s v="Gdańsk"/>
    <s v="Taksim-pol"/>
    <s v="Dobinsons Spring &amp; Suspension - Australia_x000a_58 Hollingsworth Street_x000a_North Rockhampton QLD 4701"/>
    <s v="-"/>
    <n v="6119"/>
    <s v="-"/>
    <s v="FOB BRISBANE via HONG KONG to GDAŃSK : 207 USD WM * 13,62CBM = 2819,34 USD  _x000a_NON STACK : 500 USD  _x000a_THC 20 USD WM *13,62 CBM = 272,40USD_x000a_DOC 20 USD _x000a_ODPRAWA 220 PLN_x000a_TRANSPORT AUTO Z WINDĄ : 2300 PLN – AUTO Z WINDĄ "/>
    <s v="OF USD 125 w/m_x000a_ETS USD 3 w/m_x000a_CAC Usd 20 w/m_x000a_THC USD 12 w/m_x000a_DOC USD 20/bl"/>
    <s v="-"/>
    <n v="6119"/>
  </r>
  <r>
    <s v="ZL114/12/23"/>
    <x v="0"/>
    <s v="Mebel Partner"/>
    <s v="PFC19781/2023/MRY"/>
    <s v="-"/>
    <x v="0"/>
    <x v="1"/>
    <n v="7"/>
    <s v="plt"/>
    <n v="5289"/>
    <n v="7.6790000000000003"/>
    <s v="TCLU6812334"/>
    <x v="1"/>
    <d v="2024-02-17T00:00:00"/>
    <s v="Guangzhou"/>
    <x v="47"/>
    <s v="Gdańsk"/>
    <s v="AC Klienta - HLS"/>
    <s v="-"/>
    <s v="-"/>
    <n v="1430"/>
    <s v="-"/>
    <s v="OFR GUANGHZOU - GDAŃSK: 145 USD WM * 6 CBM = 870 USD  _x000a_THC 20 USD WM * 6 CBM = 120 USD _x000a_DOC 20 USD_x000a_ODPRAWA 220 PLN + 20 PLN za każdy kolejny HS CODE_x000a_TRANSPORT GDN &gt; BYDGOSZCZ : 1200 PLN_x000a_ _x000a_TOTAL : 1010 USD + 1420 PLN "/>
    <s v="-"/>
    <s v="-"/>
    <n v="1430"/>
  </r>
  <r>
    <s v="ZL097/01/24"/>
    <x v="0"/>
    <s v="Assempol"/>
    <s v="PFC01036/2024/MRY"/>
    <s v="-"/>
    <x v="1"/>
    <x v="1"/>
    <n v="1"/>
    <s v="cases"/>
    <n v="860"/>
    <n v="3.4049999999999998"/>
    <s v="TCLU6812334"/>
    <x v="1"/>
    <d v="2024-02-17T00:00:00"/>
    <s v="Shenzhen"/>
    <x v="47"/>
    <s v="Gdańsk"/>
    <s v="Taksim-pol"/>
    <s v="-"/>
    <s v="-"/>
    <n v="1149"/>
    <s v="-"/>
    <s v="EXW Shenzhen: 395 USD all in_x000a_OF: 110 USD W/M*4,68 cbm = 514,80 USD_x000a_&gt; THC: 20 USD W/M*4,68 cbm = 93,60 USD_x000a_&gt; DOC: 20 USD/BL_x000a_&gt; ODPRAWA 220 PLN_x000a_&gt; TRANSPORT GDN  &gt; RUSOCIN : 600 PLN"/>
    <s v="EXW Shenzhen: 320 USD all in_x000a_OF: 97 USD W/M_x000a_THC: 10 USD W/M_x000a_DOC: 20 USD/BL_x000a_DSK: 7 USD"/>
    <s v="-"/>
    <n v="1149"/>
  </r>
  <r>
    <s v="ZL179/03/24"/>
    <x v="0"/>
    <s v="Barista"/>
    <s v="PFC04832 AIR Messi Cup"/>
    <s v="-"/>
    <x v="1"/>
    <x v="1"/>
    <n v="28"/>
    <s v="ctn"/>
    <n v="518"/>
    <n v="3.11"/>
    <s v="-"/>
    <x v="2"/>
    <d v="2024-03-29T00:00:00"/>
    <s v="Dalian"/>
    <x v="48"/>
    <s v="Warszawa"/>
    <s v="Taksim-pol"/>
    <m/>
    <m/>
    <m/>
    <m/>
    <s v="airfreight +500kg usd4.10/kgs ( The earliest space will be on 23 Mar ) -&gt; 2585 USD_x000a_inland transit from Guangzhou to Dalian airport  : usd155/Shpt _x000a_Lokalne w WAW:_x000a_Dostawa: 450 PLN_x000a_odprawa w naszej AC ostateczna 200 PLN"/>
    <m/>
    <m/>
    <m/>
  </r>
  <r>
    <s v="ZL137/01/24"/>
    <x v="0"/>
    <s v="Madejski"/>
    <s v="[RS21/1] SZSE24012304 235541061"/>
    <s v="Maersk"/>
    <x v="0"/>
    <x v="0"/>
    <n v="3"/>
    <s v="20DV"/>
    <n v="44100"/>
    <n v="3"/>
    <s v="HASU1406182 - 16 450 kg_x000a_MRKU7596220 - 16 380 kg_x000a_TEMU3597282 - 11 270 kg"/>
    <x v="2"/>
    <d v="2024-02-04T00:00:00"/>
    <s v="Qingdao"/>
    <x v="48"/>
    <s v="Gdańsk"/>
    <s v="AC Klienta Rusak"/>
    <s v="-"/>
    <s v="-"/>
    <s v="-"/>
    <s v="-"/>
    <s v="O/F: USD2900/20GP via MSK // 2800 usd  OWS has included_x000a_THC 210 EUR per container / 200 eur _x000a_DOC 55 EUR per container / 55 total _x000a_ISPS 25 EUR per container_x000a_TRANSPORT GDN &gt; KRAKÓW 20 DV DROGOWY: per container_x000a_Do 10t – 3400pln_x000a_Do 21t – 3700pln _x000a__x000a_TRANSPORT GDN &gt; KRAKÓW 20 DV KOLEJ : 3600 PLN per container"/>
    <s v="O/F: USD2800/20GP via MSK"/>
    <s v="-"/>
    <s v="-"/>
  </r>
  <r>
    <s v="ZL203/01/24"/>
    <x v="0"/>
    <s v="NETBUY"/>
    <s v="[RS10/3] SZSE24030703 RAIL cargo for NETBUY"/>
    <s v="-"/>
    <x v="1"/>
    <x v="0"/>
    <n v="1"/>
    <s v="40HC"/>
    <s v="-"/>
    <n v="2"/>
    <s v="LCGU8060561 "/>
    <x v="3"/>
    <d v="2024-03-25T00:00:00"/>
    <s v="Changsha "/>
    <x v="49"/>
    <s v="Warszawa"/>
    <s v="33a"/>
    <s v="-"/>
    <s v="-"/>
    <s v="-"/>
    <s v="-"/>
    <s v="R/F: USD8700/40HQ via Datian station "/>
    <s v="R/F: USD7300/40HQ via Datian station "/>
    <m/>
    <s v="-"/>
  </r>
  <r>
    <s v="ZL005/04/24"/>
    <x v="0"/>
    <s v="B2B"/>
    <s v="LOTNIK PILNE"/>
    <s v="-"/>
    <x v="1"/>
    <x v="1"/>
    <n v="11"/>
    <s v="package"/>
    <n v="423"/>
    <n v="1.3"/>
    <s v="-"/>
    <x v="2"/>
    <d v="2024-04-08T00:00:00"/>
    <s v="-"/>
    <x v="50"/>
    <s v="Warszawa"/>
    <s v="AC Porath"/>
    <s v="Shipper/Yiwu Sili Import And Export Co., Ltd.                             "/>
    <s v="B2B Marcin Klepuszewski"/>
    <s v="-"/>
    <s v="-"/>
    <s v="Routing: PVG-PEK-FRA-WAW / TT 4-5 dni_x000a_Koszty EXW Chiny – 350 USD_x000a_Fracht do WAW – 2426 USD_x000a_Koszty w PL – 1500 PLN_x000a_Licencja eksportowa 130 USD"/>
    <m/>
    <m/>
    <s v="-"/>
  </r>
  <r>
    <s v="ZL134/03/24"/>
    <x v="0"/>
    <s v="ALLBAG"/>
    <s v="RAIL SMLCD24031321  "/>
    <s v="-"/>
    <x v="2"/>
    <x v="1"/>
    <n v="1"/>
    <s v="40HC"/>
    <n v="2150"/>
    <n v="2.21"/>
    <s v="-"/>
    <x v="3"/>
    <d v="2024-03-30T00:00:00"/>
    <s v="Chengdu"/>
    <x v="51"/>
    <s v="Małaszewice"/>
    <s v="art 33a anna@acspedycja.pl"/>
    <s v="-"/>
    <s v="-"/>
    <s v="-"/>
    <s v="-"/>
    <s v="995 USD ( EXW + FRACHT KOLEJOWY) + 1400 PLN ( ODPRAWA + TRANSPORT DROGOWY)"/>
    <s v="740 USD"/>
    <s v="-"/>
    <s v="-"/>
  </r>
  <r>
    <s v="ZL206/01/24"/>
    <x v="0"/>
    <s v="MKV Brakowski"/>
    <s v="PFC01900"/>
    <s v="PFC"/>
    <x v="0"/>
    <x v="1"/>
    <n v="2"/>
    <s v="plt"/>
    <n v="1910"/>
    <n v="2.75"/>
    <s v="CAIU4687730"/>
    <x v="3"/>
    <d v="2024-02-16T00:00:00"/>
    <s v="Qingdao"/>
    <x v="52"/>
    <s v="Gdańsk"/>
    <s v="Taksim-pol"/>
    <s v="Qingdao Bestyear Hardware &amp; Machinery Co.,Ltd"/>
    <s v="-"/>
    <s v="-"/>
    <s v="-"/>
    <s v="OF: 97 USD W/M_x000a_THC: 20 USD W/M_x000a_DOC: 20 USD_x000a_Odprawa: 220 PLN"/>
    <s v="OF: 86 USD W/M_x000a_THC: 10 USD W/M_x000a_DOC: 20 USD_x000a_DSK: 7 USD"/>
    <s v="-"/>
    <s v="-"/>
  </r>
  <r>
    <s v="ZL070/02/24"/>
    <x v="0"/>
    <s v="Barista"/>
    <s v="RO: 0170693 SIN/GDN/01790"/>
    <s v="ECU"/>
    <x v="1"/>
    <x v="1"/>
    <n v="81"/>
    <s v="ctn"/>
    <n v="949.5"/>
    <n v="4.8"/>
    <s v="AMCU9420434"/>
    <x v="3"/>
    <d v="2024-03-09T00:00:00"/>
    <s v="Singapore"/>
    <x v="53"/>
    <s v="Gdańsk"/>
    <s v="Taksim-pol"/>
    <s v="-"/>
    <s v="-"/>
    <s v="-"/>
    <s v="-"/>
    <s v="Stan na 20.02_x000a_EXW SINGAPORE: 750 USD_x000a_OFR SINGAPORE – GDAŃSK : 115 USD WM *4,8 USD = 552 USD _x000a_RED SEA CONTINGENCY SURCHARGE: 35 USD WM*4,8 CBM = 168 USD _x000a_THC 20 USD WM *4,8 cbm = 96 USD_x000a_DOC 25 USD _x000a_ODPRAWA 250 PLN_x000a_TRANSPORT GDN &gt; WAW ( LUZEM KARTONY ) : 900 PLN _x000a_TRANSPORT GDN &gt; WAW ( PALETY ) : 1050 PLN"/>
    <m/>
    <m/>
    <s v="-"/>
  </r>
  <r>
    <s v="ZL112/01/24"/>
    <x v="0"/>
    <s v="Omega PHT"/>
    <s v="PFC01134"/>
    <s v="-"/>
    <x v="0"/>
    <x v="1"/>
    <n v="6"/>
    <s v="plt"/>
    <n v="4129"/>
    <n v="4.5999999999999996"/>
    <s v="OOCU8689957"/>
    <x v="3"/>
    <d v="2024-02-13T00:00:00"/>
    <s v="Shanghai"/>
    <x v="53"/>
    <s v="Gdańsk"/>
    <s v="AC Klienta - DTA "/>
    <s v="-"/>
    <s v="-"/>
    <s v="-"/>
    <s v="-"/>
    <s v="OFR SHANGHAI – GDANSK : 95 USD WM * 4,1 CBM = 389,50 USD _x000a_THC GDANSK 20 USD WM *4,1 CBM =  82 USD _x000a_DOC 20 USD _x000a_ODPRAWA 220 PLN _x000a_TRANSPORT GDN &gt;PŁOCK: 1300 PLN "/>
    <s v="OF: 93 USD W/M_x000a_THC: 10 USD W/M_x000a_DOC: 20 USD_x000a_DSK: 7 USD"/>
    <s v="-"/>
    <s v="-"/>
  </r>
  <r>
    <s v="ZL143/01/24"/>
    <x v="0"/>
    <s v="Madejski"/>
    <s v="PFC01377 6 plt 4051kg K&amp;G MACHINERY KG4231130"/>
    <s v="-"/>
    <x v="0"/>
    <x v="1"/>
    <n v="7"/>
    <s v="plt"/>
    <n v="4050.9"/>
    <n v="8.07"/>
    <s v="OOCU8689957"/>
    <x v="3"/>
    <d v="2024-02-08T00:00:00"/>
    <s v="Shanghai"/>
    <x v="53"/>
    <s v="Gdańsk"/>
    <s v="AC Klienta"/>
    <s v="-"/>
    <s v="-"/>
    <n v="702"/>
    <s v="-"/>
    <s v="OFR SHANGHAI – GDAŃSK 90 USD WM * 6,59 CBM = 539,10 USD _x000a_THC 20 USD WM * 6,59 CBM = 131.80 USD_x000a_DOC 25 USD_x000a_TRANSPORT GDN &gt; KRAKÓW : 1750 PLN_x000a_ _x000a_TOTAL: 749,90 USD + 1750 PLN"/>
    <s v="90 USD WM "/>
    <s v="-"/>
    <n v="702"/>
  </r>
  <r>
    <s v="ZL086/03/24"/>
    <x v="0"/>
    <s v="MKV Brakowski"/>
    <s v="SMLCD24040628 Płatna waga 5,6"/>
    <s v="IGS"/>
    <x v="4"/>
    <x v="1"/>
    <n v="2"/>
    <s v="package"/>
    <n v="2762"/>
    <n v="2.91"/>
    <s v="HNKU6090213"/>
    <x v="3"/>
    <d v="2024-04-07T00:00:00"/>
    <s v="Shanghai"/>
    <x v="54"/>
    <s v="Małaszewice"/>
    <s v="Taksim-pol"/>
    <s v="Tiante Valve (China)_x000a_E-mail:yan@tt-valve.com.cn _x000a_            everbestvalve@hotmail.com"/>
    <s v="-"/>
    <s v="Płatna waga 5,6"/>
    <s v="Shee@smilelogistics.com _x000a_MB/WA/Skype/Wechat:13510294492 _x000a_ShenZhen Smile Int'l Logistics Co.,LTD."/>
    <s v="FCA Shanghai - Warsaw  USD 1150 TOTAL_x000a_DTHS wliczone_x000a_DOC: 20 USD/BL_x000a_Odprawa: 250 PLN/SAD_x000a_ "/>
    <s v="Local: 175 USD_x000a_Rail:&quot; 137 * 5,6 = 767 USD"/>
    <m/>
    <m/>
  </r>
  <r>
    <s v="ZL011/02/24"/>
    <x v="0"/>
    <s v="NETTO"/>
    <s v="-"/>
    <s v="Evergreen"/>
    <x v="0"/>
    <x v="0"/>
    <n v="8"/>
    <s v="20DV"/>
    <n v="217700"/>
    <n v="8"/>
    <s v="DRYU2757017_x000a_DRYU2996270_x000a_DRYU2567974_x000a_DRYU2668389_x000a_EGSU3068000_x000a_EGHU3183398_x000a_DRYU2670690_x000a_DRYU2690973"/>
    <x v="3"/>
    <d v="2024-02-17T00:00:00"/>
    <s v="Mundra"/>
    <x v="55"/>
    <s v="Gdynia"/>
    <s v="AC Klienta"/>
    <s v="-"/>
    <s v="-"/>
    <n v="5447"/>
    <s v="-"/>
    <s v="OFR MUNDRA – GDYNIA 20 DV: 3115 USD per container _x000a_THC 215 EUR per container_x000a_DOC 55 EUR per container_x000a_ISPS 25 EUR per container _x000a_Ubezpieczenie wyniesie 761,96 PLN "/>
    <s v="3027 USD"/>
    <s v="SZ436000334624/009"/>
    <m/>
  </r>
  <r>
    <s v="ZL168/01/24"/>
    <x v="0"/>
    <s v="PHU Kar-Pol"/>
    <s v="Odprawa + odwoz 236023894"/>
    <s v="-"/>
    <x v="2"/>
    <x v="0"/>
    <n v="1"/>
    <s v="40HC"/>
    <n v="6100"/>
    <n v="2"/>
    <s v="TCKU7258364"/>
    <x v="3"/>
    <d v="2024-02-23T00:00:00"/>
    <s v="INCHEON"/>
    <x v="56"/>
    <s v="HAMBURG"/>
    <s v="Porath"/>
    <s v="-"/>
    <s v="-"/>
    <s v="-"/>
    <s v="-"/>
    <s v="THC 275 EUR_x000a_DOC 55 EUR _x000a_ISPS 25 EUR _x000a_ODPRAWA : 175 EUR _x000a_ _x000a_TRANSPORT HAMBURG &gt; ŁÓDZ : 1350 EUR  ( STAWKI POSZŁY W GÓRĘ Z RACJI MYTA W NIEMCZECH) "/>
    <s v="-"/>
    <s v="-"/>
    <m/>
  </r>
  <r>
    <s v="ZL040/12/23"/>
    <x v="0"/>
    <s v="PHUP &quot;IMPULS&quot;"/>
    <s v="[RS2/2] SZSE24022303 236689978  40HC OPEN TOP "/>
    <s v="-"/>
    <x v="0"/>
    <x v="0"/>
    <n v="1"/>
    <s v="40OT"/>
    <n v="3170"/>
    <n v="2"/>
    <s v="MAEU4205412"/>
    <x v="3"/>
    <d v="2024-03-06T00:00:00"/>
    <s v="Shanghai"/>
    <x v="57"/>
    <s v="Gdańsk"/>
    <s v="-"/>
    <s v="ZHANJIANG KINGONE VEHICLE CO., LTD."/>
    <s v="P.H.U.P. IMPULS PIOTR LIPIEN  "/>
    <s v="-"/>
    <s v="-"/>
    <s v="O/F: USD6900/40OT via MSK_x000a_THC 350 EUR_x000a_DOC 55 EUR_x000a_ISPS 25 EUR_x000a_ODPRAWA 220 PLN_x000a_TRANSPORT DĘBICA 39-200 : 5500 PLN + BAF 3%_x000a_INSURANCE ??? 469,31 PLN"/>
    <s v="O/F 6400 USD"/>
    <s v="SZ436000334624/011"/>
    <s v="-"/>
  </r>
  <r>
    <s v="ZL188/02/24"/>
    <x v="0"/>
    <s v="Unicell"/>
    <s v="PFC03521/2024/MRY"/>
    <s v="-"/>
    <x v="1"/>
    <x v="1"/>
    <n v="153"/>
    <s v="ctn"/>
    <n v="1507"/>
    <n v="8.4"/>
    <s v="MSCU6583745"/>
    <x v="3"/>
    <d v="2024-03-13T00:00:00"/>
    <s v="Ningbo"/>
    <x v="57"/>
    <s v="Gdańsk"/>
    <s v="-"/>
    <s v="NINGBO FABE CHILD SAFETY CO.,LTD"/>
    <s v="UNICELL INTERNATIONAL SP. Z O.O."/>
    <s v="-"/>
    <s v="-"/>
    <s v="EXW CHINA : 455 USD _x000a_OFR NINGBO – GDAŃSK : 87 USD WM * 9 CBM = 783 USD _x000a_THC 20 USD WM * 9 CBM = 180 USD_x000a_DOC 20 USD_x000a_ODPRAWA 250 PLN_x000a_TRANSPORT GDN &gt; 16-010 : 1350 PLN _x000a__x000a_TOTAL : 1418 USD +1600 PLN _x000a_"/>
    <s v="-"/>
    <s v="-"/>
    <s v="-"/>
  </r>
  <r>
    <s v="ZL026/03/24"/>
    <x v="0"/>
    <s v="VICTORIA"/>
    <s v="[RS6/3] SZSE24030410 177LNCNCN2H271A "/>
    <s v="MSC"/>
    <x v="0"/>
    <x v="0"/>
    <n v="1"/>
    <s v="40HC"/>
    <n v="11508"/>
    <n v="2"/>
    <s v="MSDU8665070"/>
    <x v="3"/>
    <d v="2024-03-13T00:00:00"/>
    <s v="Shanghai"/>
    <x v="57"/>
    <s v="Gdańsk"/>
    <s v="33a ENIGMA"/>
    <s v="ANHUI WILLSOON FURNITURE CO.,LTD."/>
    <s v="VICTORIA SP. Z O. O"/>
    <s v="stoły kateringowe to 16495$"/>
    <s v="-"/>
    <s v="O/F: USD3300/40HQ _x000a__x000a_THC 205 EUR_x000a_DOC 55 EUR _x000a_ISPS 25 EUR_x000a_ODPRAWA 250 PLN_x000a_TRANSPRORT KOLEJ GDN &gt; OPOLE: 3600 PLN_x000a_TRANSPORT DROGOWY dla MSC/MSK - 3500 PLN"/>
    <s v="-"/>
    <s v="-"/>
    <s v="-"/>
  </r>
  <r>
    <s v="ZL104/02/24"/>
    <x v="0"/>
    <s v="VICTORIA"/>
    <s v="[RS1/2] SZSE24021904 OOLU2733807270"/>
    <s v="OOCL"/>
    <x v="0"/>
    <x v="0"/>
    <n v="1"/>
    <s v="40HC"/>
    <n v="13830.4"/>
    <n v="2"/>
    <s v="TGHU9783671"/>
    <x v="3"/>
    <d v="2024-02-29T00:00:00"/>
    <s v="Xingang"/>
    <x v="58"/>
    <s v="Gdańsk"/>
    <s v="33a ENIGMA"/>
    <s v="LUOYANG EASTERN SUNRISE CO.,LTD_x000a_2-1302, NO.32 BUILDING, CHANGXIAMEN STREET, LUOLONG DISTRICT,_x000a_LUOYANG CITY, HENAN PROVINCE, CHINA"/>
    <s v="VICTORIA SP. Z O. O"/>
    <s v="394 cartons "/>
    <s v="-"/>
    <s v="O/F: USD4300/40HQ _x000a_THC 205 EUR_x000a_DOC 55 EUR_x000a_ISPS 25 EUR_x000a_ODPRAWA 250 PLN_x000a_TRANSPRORT KOLEJ GDN &gt; OPOLE: 3600 PLN_x000a_TRANSPORT DROGOWY dla MSC/MSK - 3500 PLN"/>
    <s v="-"/>
    <s v="-"/>
    <s v="-"/>
  </r>
  <r>
    <s v="ZL116/12/23"/>
    <x v="0"/>
    <s v="Platinum Property"/>
    <s v="[RS14/1] SZSE24011510 010301297175 "/>
    <s v="EMC"/>
    <x v="1"/>
    <x v="0"/>
    <n v="1"/>
    <s v="40HC"/>
    <n v="11770"/>
    <n v="2"/>
    <s v="EITU1232344"/>
    <x v="3"/>
    <d v="2024-02-16T00:00:00"/>
    <s v="Xingang"/>
    <x v="58"/>
    <s v="Gdańsk"/>
    <s v="AC Porath"/>
    <s v="-"/>
    <s v="-"/>
    <n v="5102"/>
    <s v="-"/>
    <s v="EXW: 985 USD / 800_x000a_O/F: USD5500/40HQ + 600 USD STORAGE  via EMC / 5200_x000a_THC 275 EUR/ per container_x000a_DOC 55 EUR/ per container_x000a_ISPS 25 EUR/ per container_x000a_ODPRAWA 175 EUR / per zgłoszenie _x000a_TRANSPORT GDN &gt; RUMIA : 1400 PLN + BAF 3 % na dziś / per container_x000a_Niestety powstały spore koszty w wysokości 1000 USD. _x000a_Weżniemy z Richardem po 200 USD na głowę, czyli 400 USD w sumie, żeby ci pomóc/ zostanie 600 USD "/>
    <s v="EXW: 800 USD"/>
    <s v="-"/>
    <m/>
  </r>
  <r>
    <s v="ZL125/01/24"/>
    <x v="0"/>
    <s v="Platinum Property"/>
    <s v="[RS25/1] SZSE24012503 010400125216 "/>
    <s v="EMC"/>
    <x v="1"/>
    <x v="0"/>
    <n v="1"/>
    <s v="40HC"/>
    <n v="11720"/>
    <n v="2"/>
    <s v="EITU9241698"/>
    <x v="3"/>
    <d v="2024-02-17T00:00:00"/>
    <s v="Tianjin"/>
    <x v="58"/>
    <s v="Gdańsk"/>
    <s v="AC Porath"/>
    <s v="-"/>
    <s v="-"/>
    <n v="3973"/>
    <s v="-"/>
    <s v="O/F: USD4800/40HQ via EMC_x000a_ETD: 13th.Feb with SI cut off date 7th.Feb_x000a_ETA: 26th.Mar_x000a_T/T: 43 Days_x000a_EXW cost: USD850/40HQ"/>
    <s v="EXW Cost: USD1050/40HQ_x000a_O/F: USD5400/40HQ via EMC_x000a_THC 275 EUR/ per container_x000a_DOC 55 EUR/ per container_x000a_ISPS 25 EUR/ per container_x000a_ODPRAWA 175 EUR / per zgłoszenie _x000a_TRANSPORT GDN &gt; RUMIA : 1400 PLN + BAF 3 % na dziś / per container"/>
    <s v="-"/>
    <m/>
  </r>
  <r>
    <s v="ZL208/02/24 (USD) + ZL160/03/24 (EUR) + ZL161/03/24 (PLN)"/>
    <x v="0"/>
    <s v="ALLBAG"/>
    <s v="[RS4/3] SZSE24030406 1x40HC NINGBO - GDAŃSK / S:SKYLARK /C:ALLBAG"/>
    <s v="-"/>
    <x v="0"/>
    <x v="0"/>
    <n v="1"/>
    <s v="40HC"/>
    <s v="-"/>
    <n v="2"/>
    <s v="MSDU7935340"/>
    <x v="3"/>
    <d v="2024-03-15T00:00:00"/>
    <s v="Ningbo"/>
    <x v="59"/>
    <s v="Gdańsk"/>
    <s v="art 33a anna@acspedycja.pl"/>
    <s v="SKYLARK NETWORK CO.,LTD._x000a_Santiago Wang +86 182 0405 5356 - "/>
    <s v="Allbag Tomasz Woźniak Sp. K."/>
    <s v="-"/>
    <s v="-"/>
    <s v="OFR NINGBO - GDAŃSK 40 HC : 3400 USD _x000a_THC 205 EUR per container_x000a_DOC 55 EUR per container_x000a_ISPS 25 EUR per container_x000a_ODPRAWA 250 PLN per BL_x000a_TRANSPORT drogowy GDN&gt; Świnna Poręba 127a, 34-106 Mucharz:  4300 PLN per container _x000a_TRANSPORT kolejowy GDN &gt; Świnna Poręba 127a, 34-106 Mucharz: 4000 per container_x000a_INSURANCE 250 PLN _x000a_ _x000a_ALL IN : 3400USD ( FRACHT) + 307 USD ( KOSZTY LOKALNE) + 1139USD ( ODPRAWA + TRANSPORT KOLEJ) = 4846 USD"/>
    <s v="USD2800/40HQ"/>
    <s v="SZ436000334624/012"/>
    <s v="-"/>
  </r>
  <r>
    <s v="ZL027/03/24"/>
    <x v="0"/>
    <s v="FOXPOL"/>
    <s v="[RS7/3] SZSE24030411 "/>
    <s v="-"/>
    <x v="0"/>
    <x v="0"/>
    <n v="1"/>
    <s v="40HC"/>
    <n v="8000"/>
    <n v="2"/>
    <s v="FCIU7407554"/>
    <x v="3"/>
    <d v="2024-03-15T00:00:00"/>
    <s v="Shanghai"/>
    <x v="59"/>
    <s v="Gdańsk"/>
    <s v="AC Klienta - Complex SAD"/>
    <s v="HAILIAN PACKAGING EQUIPMENT CO.,LTD_x000a_Savior Chen_x000a_+86 13301568240_x000a_sales1@dairymachinery.cc"/>
    <s v="FOXPOL Jacek Lisinski"/>
    <s v="1X40HQ/65CBM/8000KGS/8Pallates"/>
    <s v="-"/>
    <s v="-"/>
    <s v="2750 USD"/>
    <s v="-"/>
    <s v="-"/>
  </r>
  <r>
    <s v="ZL193/02/24"/>
    <x v="0"/>
    <s v="FOXPOL"/>
    <s v="[RS3/2] SZSE24022902"/>
    <s v="MSC"/>
    <x v="0"/>
    <x v="0"/>
    <n v="2"/>
    <s v="40HC"/>
    <n v="18020"/>
    <n v="4"/>
    <s v="TLLU7922340 - 9397.5KGS_x000a_MEDU8536116 - 8622.5KGS"/>
    <x v="3"/>
    <d v="2024-03-15T00:00:00"/>
    <s v="Shanghai"/>
    <x v="59"/>
    <s v="Gdańsk"/>
    <s v="AC Klienta - Complex SAD"/>
    <s v="HANGZHOU WINTOOLS TECHNOLOGY &amp; DEVELOPMENT CO.,LTD."/>
    <s v="FOXPOL Jacek Lisinski"/>
    <s v="-"/>
    <s v="-"/>
    <s v="OFR SHANGHAI -GDANSK 40HC : 3300 USD per container _x000a_THC 255 EUR per container_x000a_DOC 55 EUR per container_x000a_ISPS 25 EUR per container_x000a_ODPRAWA 250 PLN_x000a_TRANSPORT GDN &gt; TORUŃ 40HC : 1900 PLN per container"/>
    <s v="2750/40HQ"/>
    <s v="-"/>
    <s v="-"/>
  </r>
  <r>
    <s v="ZL134/02/24"/>
    <x v="0"/>
    <s v="JJC Sp. Z o.o."/>
    <s v="TLX PFC01649/2024/MRY"/>
    <s v="-"/>
    <x v="0"/>
    <x v="1"/>
    <n v="2"/>
    <s v="plt"/>
    <n v="390"/>
    <n v="1.93"/>
    <s v="TGBU3615278"/>
    <x v="3"/>
    <d v="2024-03-13T00:00:00"/>
    <s v="Xingang"/>
    <x v="60"/>
    <s v="Gdańsk"/>
    <s v="-"/>
    <s v="HEBEI JILI RIGGING CO., LTD. "/>
    <s v="-"/>
    <s v="-"/>
    <s v="-"/>
    <s v="OFR XINGANG – GDAŃSK : 125 USD WM *1,5CBM = 187,50 USD _x000a_THC 20 USD WM * 1,5 CBM = 30 USD _x000a_DOC 25 USD _x000a_ODPRAWA 220 PLN_x000a_TRANSPORT: 450 PLN _x000a_ _x000a_TOTAL ; 242,50 USD + 670 PLN "/>
    <s v="FOB TJN: 80 USD W/M_x000a_THC: 20 USD_x000a_DOC: 20 USD_x000a_DSK: 7 USD"/>
    <m/>
    <m/>
  </r>
  <r>
    <s v="ZL210/02/24"/>
    <x v="0"/>
    <s v="DALTON"/>
    <s v="[RS1/3] SZSE24030109"/>
    <s v="MSC"/>
    <x v="0"/>
    <x v="0"/>
    <n v="1"/>
    <s v="40HC"/>
    <s v="-"/>
    <n v="2"/>
    <s v="MSDU8106473"/>
    <x v="3"/>
    <d v="2024-03-13T00:00:00"/>
    <s v="Qingdao"/>
    <x v="60"/>
    <s v="Gdańsk"/>
    <s v="AC Klienta"/>
    <s v="QINGDAO HEALTHY CARE FOODSTUFF CO.,LTD"/>
    <s v="PETMEX Company Sp. z o.o."/>
    <s v="-"/>
    <s v="-"/>
    <s v="O/F: USD3250/40HQ via CMA per container_x000a_ETD: 12th.Mar with SI cut off date 7th.Mar_x000a_ETA: 23rd.Apr_x000a_T/T: 42 Days_x000a_THC 205 EUR per container_x000a_DOC 55 EUR per container_x000a_ISPS 25 EUR per container"/>
    <s v="USD2800/40HQ"/>
    <s v="-"/>
    <s v="-"/>
  </r>
  <r>
    <s v="ZL005/03/24"/>
    <x v="0"/>
    <s v="Madejski"/>
    <s v="[RS2/3] SZSE24030114 177ICACAQ0808VFB"/>
    <s v="MSC"/>
    <x v="0"/>
    <x v="0"/>
    <n v="2"/>
    <s v="20DV"/>
    <n v="38940"/>
    <n v="2"/>
    <s v="GATU0236000 - 19670kg_x000a_MSDU2773376 - 19270kg"/>
    <x v="3"/>
    <d v="2024-03-13T00:00:00"/>
    <s v="Qingdao"/>
    <x v="60"/>
    <s v="Gdańsk"/>
    <s v="AC Klienta"/>
    <s v="-"/>
    <s v="-"/>
    <s v="-"/>
    <s v="-"/>
    <s v="O/F: USD1975/20GP MSK per container _x000a_THC 210 EUR per container _x000a_DOC 55 EUR per container_x000a_ISPS 25 EUR per container_x000a__x000a_TRANSPORT GDN &gt; KRAKÓW 20 DV KOLEJ : 3000 PLN per container "/>
    <s v="USD1700/20GP "/>
    <s v="-"/>
    <s v="-"/>
  </r>
  <r>
    <s v="ZL034/02/24"/>
    <x v="0"/>
    <s v="MTM Profi"/>
    <s v="[RS5/3]  SZSE24030408 / SO#: 236970938"/>
    <s v="-"/>
    <x v="0"/>
    <x v="0"/>
    <n v="1"/>
    <s v="20DV"/>
    <n v="5487.16"/>
    <n v="1"/>
    <s v="MSKU7500908"/>
    <x v="3"/>
    <d v="2024-03-13T00:00:00"/>
    <s v="Manila"/>
    <x v="60"/>
    <s v="Gdańsk"/>
    <s v="-"/>
    <s v="ROH AUTO PRODUCTS PHILIPPINES INC_x000a_    MARCOS ALVAREZ AVE TALON 5, 1740 LAS PINAS CENTRAL POST OFFICE, PH_x000a_    Osoba do kontaktu:_x000a_    Nick Caluya &lt;rohsteel@gmail.com&gt;_x000a_    tel. +638011116"/>
    <s v="-"/>
    <s v="Commodity: Steel wheels_x000a_1X20GP/5487.16KGS/327PCS/CRD:29th"/>
    <s v="-"/>
    <s v="-"/>
    <s v="-"/>
    <s v="-"/>
    <s v="-"/>
  </r>
  <r>
    <s v="ZL003/03/24"/>
    <x v="0"/>
    <s v="Tecweld"/>
    <s v="[RS8/3] SZSE24030107 181AGG4TC018141S1 "/>
    <s v="MSC"/>
    <x v="0"/>
    <x v="0"/>
    <n v="1"/>
    <s v="40HC"/>
    <s v="-"/>
    <n v="2"/>
    <s v="TRHU7324696"/>
    <x v="3"/>
    <d v="2024-03-13T00:00:00"/>
    <s v="Huangpu"/>
    <x v="60"/>
    <s v="Gdańsk"/>
    <s v="AC Klienta Taksim-pol"/>
    <s v="Guangdong Baiyun Cleaning Company Limited_x000a_(renamed from 22nd March,2021)_x000a_E-mail:by813@byclean.cn_x000a_Tel:(8620) 86062028_x000a_Fax:(8620) 86060168"/>
    <s v="TECWELD"/>
    <s v="1X40HQ/67.07CBM/5889.6KGS/451CTNS/CRD:10th.Mar/FOB Huangpu to Gdansk"/>
    <s v="-"/>
    <s v="O/F: USD3400/40HQ via CMA_x000a_ETD: 11th.Mar with SI cut off date 9th.Mar_x000a_ETA: 2nd.,May_x000a_T/T: 52 Days_x000a__x000a_THC 205 EUR_x000a_DOC 55 EUR _x000a_ISPS 25 EUR _x000a_ _x000a_TRANSPORT GDN &gt; BYTOM : 3400 PLN + BAF 3%"/>
    <s v="USD2970/40HQ"/>
    <s v="-"/>
    <s v="-"/>
  </r>
  <r>
    <s v="ZL031/03/24"/>
    <x v="0"/>
    <s v="VICTORIA"/>
    <s v="[RS9/3] SZSE24030518 181AN24C0112570S1 "/>
    <s v="MSC"/>
    <x v="0"/>
    <x v="0"/>
    <n v="1"/>
    <s v="40HC"/>
    <n v="5360"/>
    <n v="2"/>
    <s v="MSDU8807391"/>
    <x v="3"/>
    <d v="2024-03-16T00:00:00"/>
    <s v="NANSHA "/>
    <x v="61"/>
    <s v="Gdańsk"/>
    <s v="33a ENIGMA"/>
    <s v="Zhejiang Ruier Leisure Products Co., Ltd._x000a_Real Group_x000a_Email: felicia@realgroup.cn_x000a_Tel:  86-0571-81026282_x000a_Whatsapp: +86 13758017665_x000a_Mob/Wechat:  13336096256"/>
    <s v="VICTORIA SP. Z O. O"/>
    <s v="1X40HQ/68CBM/5500KGS/390PCS/CRD:12th.Mar/FOB Nansha to Gdansk"/>
    <s v="-"/>
    <s v="3200 USD_x000a_285 EUR_x000a_250 PLN_x000a_3500 PLN "/>
    <s v="2750 USD"/>
    <s v="-"/>
    <s v="-"/>
  </r>
  <r>
    <s v="ZL008/03/24"/>
    <x v="0"/>
    <s v="Omega PHT"/>
    <s v="PFC03584/2024/MRY"/>
    <s v="PFC"/>
    <x v="0"/>
    <x v="1"/>
    <n v="11"/>
    <s v="plt"/>
    <n v="6766"/>
    <n v="5.55"/>
    <s v="MSMU4004865"/>
    <x v="3"/>
    <d v="2024-03-15T00:00:00"/>
    <s v="Shanghai"/>
    <x v="61"/>
    <s v="Gdańsk"/>
    <s v="-"/>
    <s v="GUI ZHOU CORF TECHNOLOGY CO., LIMITED    "/>
    <s v="Przedsiębiorstwo Handlowo Transportowe OMEGA  Tomasz Laszuk Sp. Komandytowa"/>
    <s v="-"/>
    <s v="-"/>
    <s v="OFR SHANGHAI – GDAŃSK : 71 USD WM * 6,766 = 479,96 USD _x000a_THC 20 USD WM * 6,766 = 135,32 USD _x000a_DOC 20 USD _x000a_ODPRAWA 250 PLN _x000a_TRANSPORT GDN &gt; PŁOCK : 1400 PLN _x000a_ _x000a_TOTAL: 635,28 USD + 1650 PLN"/>
    <s v="Taryfa PFC bez dodatku OWS"/>
    <s v="-"/>
    <s v="-"/>
  </r>
  <r>
    <s v="ZL012/02/24"/>
    <x v="0"/>
    <s v="KAVEX"/>
    <s v="PRZEDPŁATA PFC02133 PO CNY"/>
    <s v="-"/>
    <x v="1"/>
    <x v="1"/>
    <n v="2"/>
    <s v="plt"/>
    <n v="293"/>
    <n v="4.6239999999999997"/>
    <s v="FBIU5025571"/>
    <x v="3"/>
    <d v="2024-03-24T00:00:00"/>
    <s v="Shenzhen"/>
    <x v="62"/>
    <s v="Gdańsk"/>
    <s v="-"/>
    <s v="Shenzhen Feiyasi Electronic Ecommerce Co., Ltd."/>
    <s v="Kavex Jakub Kawalec"/>
    <s v="-"/>
    <s v="-"/>
    <s v="EXW: 390 USD + 175 USD dodatkowy kozst za licencje i odprawe eksportowa_x000a_OFR SHENZHEN – GDAŃSK : 107 USD WM * 3,68 CBM = 393,76 USD _x000a_THC 20 USD WM *3,68 USD = 73,60 USD _x000a_DOC 25 USD _x000a_ODPRAWA 250 PLN_x000a_TRANSPORT GDN &gt; 71-794 Szczecin : 750 PLN + 100 PLN / winda + paleciak _x000a__x000a_TOTAL : 882,36 USD + 1000 PLN "/>
    <s v="EXW: 290 USD + 140 USD"/>
    <s v="-"/>
    <m/>
  </r>
  <r>
    <s v="ZL032/03/24"/>
    <x v="0"/>
    <s v="Barista"/>
    <s v="RO: 0173293 JEA/GDN/00031 "/>
    <s v="-"/>
    <x v="0"/>
    <x v="1"/>
    <n v="6"/>
    <s v="plt"/>
    <n v="914.54"/>
    <n v="8.0299999999999994"/>
    <s v="HASU4404835"/>
    <x v="3"/>
    <d v="2024-03-21T00:00:00"/>
    <s v="Jebel Ali"/>
    <x v="63"/>
    <s v="Gdańsk"/>
    <s v="Taksim-pol"/>
    <s v="-"/>
    <s v="-"/>
    <s v="-"/>
    <s v="-"/>
    <s v="OFR JEBEL ALI – GDANSK : 183 USD WM * 8,03 CBM = 1469,49 USD_x000a_THC 20 USD WM * 8,03 CBM = 160,60 USD_x000a_DOC 20 USD_x000a_ODPRAWA 250 PLN_x000a_TRANSPORT GDN &gt; WAW: 1200 PLN _x000a__x000a_TOTAL : 1650,09 USD + 1450 PLN "/>
    <s v="-"/>
    <s v="-"/>
    <s v="-"/>
  </r>
  <r>
    <s v="ZL042/03/24"/>
    <x v="0"/>
    <s v="Tecweld"/>
    <s v="[RS12/3] SZSE24031202 236608228"/>
    <s v="-"/>
    <x v="0"/>
    <x v="0"/>
    <n v="1"/>
    <s v="20DV"/>
    <n v="10317"/>
    <n v="1"/>
    <s v="FAMU8830100"/>
    <x v="3"/>
    <d v="2024-04-01T00:00:00"/>
    <s v="Tianjin"/>
    <x v="64"/>
    <s v="Gdańsk"/>
    <s v="AC Klienta - Taksim-pol"/>
    <s v="-"/>
    <s v="-"/>
    <s v="-"/>
    <s v="-"/>
    <s v="OFR XINGANG – GDAŃSK 20DV: 1700 USD_x000a_THC 210 EUR_x000a_DOC 55 EUR_x000a_ISPS 25 EUR_x000a_TRANSPORT 20DV : 2900 PLN ( stawka ważna do 31.03.2024)"/>
    <s v="-"/>
    <s v="-"/>
    <s v="-"/>
  </r>
  <r>
    <s v="ZL132/03/24"/>
    <x v="0"/>
    <s v="Alkam"/>
    <s v=" PFC04482 U1107324010401"/>
    <s v="-"/>
    <x v="0"/>
    <x v="1"/>
    <n v="21"/>
    <s v="ctn"/>
    <n v="245"/>
    <n v="1.7"/>
    <s v="MEDU4240213"/>
    <x v="3"/>
    <d v="2024-03-31T00:00:00"/>
    <s v="Shanghai"/>
    <x v="1"/>
    <s v="Gdansk"/>
    <s v="AC Klienta - DTA "/>
    <s v="UNV Digital Technologies Company limited_x000a_Echo 黄桂英_x000a_Mobile: +86-18158405369_x000a_E-mail: huangguiying@uniview.com_x000a_Add: No. 369, Xietong Road, Xixing Sub-district, Binjiang District, Hangzhou City, Zhejiang Province, China(310051)"/>
    <s v="ALKAM SECURITY SP. Z O.O. SP. K"/>
    <s v="-"/>
    <s v="Mr. Fengy _x000a_Tel: +86-21-63930701 _x000a_E-mail: swin@jiyida-logistics.com"/>
    <s v="&gt;&gt; OFR SHANGHAI/NINGBO - GDAŃSK : 75 USD WM * 1,7 CBM = 127,50 USD THC _x000a_&gt;&gt; 15 USD WM * 1,7 CBM = 25,50 USD DOC 25 USD TRANSPORT 290 PLN ( 75 _x000a_&gt;&gt; USD)_x000a_&gt;&gt;_x000a_&gt;&gt; TOTAL : 253 USD"/>
    <s v="OF: 55 USD W/M_x000a_THC: 10 USD W/M, MIN 20 USD_x000a_DOC: 20 USD_x000a_DSK: 7 USD"/>
    <s v="-"/>
    <s v="-"/>
  </r>
  <r>
    <s v="ZL133/02/24"/>
    <x v="0"/>
    <s v="MTM Profi"/>
    <s v="NEW order RO: 0171669"/>
    <s v="-"/>
    <x v="0"/>
    <x v="1"/>
    <n v="6"/>
    <s v="plt"/>
    <n v="6052"/>
    <n v="14.851000000000001"/>
    <s v="TRHU7826668"/>
    <x v="3"/>
    <d v="2024-03-12T00:00:00"/>
    <s v="Brisbane"/>
    <x v="1"/>
    <s v="Gdańsk"/>
    <s v="Taksim-pol"/>
    <s v="Dobinsons Spring &amp; Suspension - Australia_x000a_58 Hollingsworth Street_x000a_North Rockhampton QLD 4701"/>
    <s v="-"/>
    <s v="Total : 6194 kg_x000a_Cubic: 15,686 cbm _x000a__x000a_1 x 115x115x195 cm – 1030 kg_x000a_1 x 115x115x193 cm – 965 kg_x000a_1 x 115x115x190 cm – 1058 kg_x000a_1 x 115x115x195 cm – 1065 kg_x000a_1 x 115x115x193cm – 941 kg_x000a_1 x 115x132x192cm – 1135 kg"/>
    <s v="-"/>
    <s v="FOB BRISBANE via HONG KONG to GDAŃSK : 187 USD WM * 15,686cbm = 3247 USD / położymy coś lekkiego na palety _x000a_THC 20 USD WM *15,686 CBM = 313,72USD _x000a_DOC 20 USD _x000a_ODPRAWA 220 PLN _x000a_TRANSPORT AUTO Z WINDĄ : 2300 PLN_x000a__x000a_TOTAL : 3580,72 USD + 2520 PLN "/>
    <s v="160 USD WM"/>
    <s v="-"/>
    <s v="-"/>
  </r>
  <r>
    <s v="ZL046/03/24"/>
    <x v="0"/>
    <s v="FOXPOL"/>
    <s v="[RS11/3] SZSE24030816 177LNCNCN1H366A "/>
    <s v="-"/>
    <x v="0"/>
    <x v="0"/>
    <n v="3"/>
    <s v="40HC"/>
    <n v="28038.6"/>
    <n v="6"/>
    <s v="MSDU5888110 - 6720_x000a_MSMU7617726 - 10716,6_x000a_FFAU2080902 - 10602"/>
    <x v="3"/>
    <d v="2024-03-23T00:00:00"/>
    <s v="Ningbo"/>
    <x v="63"/>
    <s v="Gdańsk"/>
    <s v="AC Klienta - Complex SAD"/>
    <s v="HANGZHOU WINTOOLS TECHNOLOGY &amp; DEVELOPMENT CO.,LTD._x000a_Shipper: CRM@WINTOOLS.COM.CN _x000a_86 13666605503"/>
    <s v="FOXPOL JACEK LISINSKI_x000a_UL.STRUMYKOWA 3,87-400 GOLUB-DOBRZYN,POLAND_x000a_PL8781718072"/>
    <s v="Commodity: TOOL CABINET_x000a_3X40HQ/167CBM/28659KGS/195CTNS/CRD:5th.Mar/FOB Ningbo to Gdansk"/>
    <s v="-"/>
    <s v="OFR SHANGHAI -GDANSK 40HC : 3000 USD per container _x000a_THC 255 EUR per container_x000a_DOC 55 EUR per container_x000a_ISPS 25 EUR per container_x000a_ODPRAWA 250 PLN_x000a_TRANSPORT GDN &gt; TORUŃ 40HC : 1900 PLN per container"/>
    <s v="2535 USD"/>
    <s v="-"/>
    <s v="-"/>
  </r>
  <r>
    <s v="ZL040/02/24"/>
    <x v="0"/>
    <s v="Decorini"/>
    <s v="[RS21/3] SZSE24032809 237840948 "/>
    <s v="-"/>
    <x v="1"/>
    <x v="0"/>
    <n v="1"/>
    <s v="20DV"/>
    <n v="2203.89"/>
    <s v="-"/>
    <s v="MRKU6569723"/>
    <x v="3"/>
    <d v="2024-04-06T00:00:00"/>
    <s v="Shanghai"/>
    <x v="65"/>
    <s v="Gdańsk"/>
    <s v="-"/>
    <s v="-"/>
    <s v="-"/>
    <s v="-"/>
    <s v="-"/>
    <s v="EXW Cost: USD1025/20GP_x000a_ O/F: USD2950/20GP via CMA _x000a_THC 205 EUR_x000a_DOC 55 EUR_x000a_ISPS 25 EUR_x000a_ _x000a_ODPRAWA 220 PLN _x000a_Transport 20 DV do 10 ton: 2300 PLN_x000a_Transport 20 DV do 21 ton : 2700 PLN_x000a_( GDN - Podciernie 21 05-319 Cegłów)  "/>
    <s v="O/F: USD1650/20GP via MSK_x000a_ETD: 2nd.Apr with SI cut off date 29th.Mar_x000a_ETA: 17th.May_x000a_T/T: 45 Days_x000a__x000a_EXW Cost: USD890/20GP"/>
    <s v="-"/>
    <m/>
  </r>
  <r>
    <s v="ZL080/03/24"/>
    <x v="0"/>
    <s v="DALTON"/>
    <s v="[RS16/3] FOB Ho Chi Minh"/>
    <s v="-"/>
    <x v="0"/>
    <x v="0"/>
    <n v="1"/>
    <s v="20DV"/>
    <n v="7500"/>
    <n v="1"/>
    <s v="MSKU2825562"/>
    <x v="3"/>
    <d v="2024-04-08T00:00:00"/>
    <s v="Ho Chi Minh"/>
    <x v="65"/>
    <s v="Gdańsk"/>
    <s v="AC Klienta"/>
    <s v="HANG XANH COMPANY LIMITED"/>
    <s v="PETMEX COMPANY SP. Z O. O."/>
    <s v="Commodity: WOOD CHEW TOYS_x000a_1X20GP/7800KGS/300CTNS/CRD:3rd.Apr/FOB "/>
    <s v="-"/>
    <s v="O/F: USD2100/20GP via MSK_x000a_ETD: 8th.Apr with SI cut off date 4th.Apr_x000a_ETA: 17th.May_x000a_T/T: 39 Days_x000a__x000a_THC 205 EUR per container_x000a_DOC 55 EUR per container_x000a_ISPS 25 EUR per container"/>
    <s v="O/F: USD1900/20GP via MSK"/>
    <s v="-"/>
    <s v="-"/>
  </r>
  <r>
    <s v="ZL105/02/24"/>
    <x v="0"/>
    <s v="Assempol"/>
    <s v="[RS20/3] SZSE24032819 237884196 "/>
    <s v="-"/>
    <x v="5"/>
    <x v="0"/>
    <n v="1"/>
    <s v="40HC"/>
    <s v="-"/>
    <n v="2"/>
    <s v="-"/>
    <x v="3"/>
    <d v="2024-04-07T00:00:00"/>
    <s v="Yantian"/>
    <x v="65"/>
    <s v="Gdańsk"/>
    <s v="Taksim-pol"/>
    <s v="VANSTRON Automation Co.Ltd."/>
    <s v="Assempol Sp. z o.o."/>
    <s v="Commodity:_x000a_Bare boards Destacker_x000a_Vertical Buffer_x000a_500mm linking conveyor_x000a_1X40HQ/19.8CBM/2375KGS/CRD:29th.Mar/EXW Baoan to Gdansk via Yantian"/>
    <s v="-"/>
    <s v="EXW Cost: USD1100/40HQ_x000a_O/F: USD3100/40HQ_x000a_THC 205 EUR_x000a_DOC 55 EUR_x000a_ISPS 25 EUR_x000a_ODPRAWA 250 PLN _x000a_TRANSPORT GDN &gt; KWIDZYŃ: 1600 PLN "/>
    <s v="USD2600/40HQ+EXW Cost:USD690/40HQ."/>
    <s v="-"/>
    <s v="-"/>
  </r>
  <r>
    <s v="ZL084/03/24"/>
    <x v="0"/>
    <s v="MKV Brakowski"/>
    <s v="PFC04259 Dostałam informację, że załadowca będzie mieć przygotowany towar 24.03. Najwcześniejsze wyjście to ETD 2.04."/>
    <s v="PFC"/>
    <x v="0"/>
    <x v="1"/>
    <n v="4"/>
    <s v="package"/>
    <n v="2652"/>
    <n v="4.8639999999999999"/>
    <s v="-"/>
    <x v="3"/>
    <d v="2024-04-03T00:00:00"/>
    <s v="Shanghai"/>
    <x v="66"/>
    <s v="Gdańsk"/>
    <s v="Taksim-pol"/>
    <s v="YANCHENG TIANTE VALVE CO.,LTD."/>
    <s v="-"/>
    <s v="-"/>
    <s v="Mr. Fengy_x000a_Tel: +86-21-63930701_x000a_E-mail: swin@jiyida-logistics.com"/>
    <s v="OFR 65 USD WM * 4,86 CBM = 315,90 USD_x000a_THC 20 USD WM * 4,86 CBM = 97,20 USD _x000a_DOC 25 USD _x000a_ODPRAWA 220 PLN_x000a_TRANSPORT GDN &gt; OSIELSKO 86-031 : 1000 PLN  _x000a__x000a_TOTAL: 438,10 USD + 1220 PLN  "/>
    <s v="OF: 55 USD W/M (15-31/3)"/>
    <s v="-"/>
    <s v="-"/>
  </r>
  <r>
    <s v="ZL006/03/24"/>
    <x v="0"/>
    <s v="DALTON"/>
    <s v="[RS3/3] SZSE24030118"/>
    <s v="-"/>
    <x v="0"/>
    <x v="0"/>
    <n v="1"/>
    <s v="40HC"/>
    <n v="8400"/>
    <n v="2"/>
    <s v="MSMU8761738"/>
    <x v="3"/>
    <d v="2024-04-01T00:00:00"/>
    <s v="Qingdao"/>
    <x v="67"/>
    <s v="Gdańsk"/>
    <s v="AC Klienta"/>
    <s v="QINGDAO HEALTHY CARE FOODSTUFF CO.,LTD"/>
    <m/>
    <m/>
    <s v="-"/>
    <s v="O/F: USD3250/40HQ via CMA per container_x000a_ETD: 12th.Mar with SI cut off date 7th.Mar_x000a_ETA: 23rd.Apr_x000a_T/T: 42 Days_x000a_THC 205 EUR per container_x000a_DOC 55 EUR per container_x000a_ISPS 25 EUR per container"/>
    <s v="USD2800/40HQ"/>
    <s v="-"/>
    <s v="-"/>
  </r>
  <r>
    <s v="ZL158/02/24"/>
    <x v="0"/>
    <s v="SKZ"/>
    <s v="[RS19/3]  SZSE24032616"/>
    <s v="-"/>
    <x v="0"/>
    <x v="0"/>
    <n v="1"/>
    <s v="20DV"/>
    <n v="11654.32"/>
    <n v="1"/>
    <s v="MSKU5908655"/>
    <x v="3"/>
    <d v="2024-04-04T00:00:00"/>
    <s v="Ningbo"/>
    <x v="67"/>
    <s v="Gdańsk"/>
    <s v="Tranzyt do Chrzanowa"/>
    <s v="-"/>
    <s v="-"/>
    <s v="Commodity: AUTO PARTS_x000a_1X20GP/28.01CBM/11374.32KGS/781CTNS/CRD:25th.Mar/FOB Ningbo to Gdansk"/>
    <s v="-"/>
    <s v="O/F: USD2400// 20GP via MSK_x000a_THC 205 EUR_x000a_DOC 55 EUR_x000a_ISPS 25 EUR_x000a_T1 200 PLN_x000a_INSURANCE: 350 PLN_x000a_TRANSPORT 32-500 CHRZANÓW : 3600 PLN + BAF 4%"/>
    <s v="USD1625/20GP."/>
    <s v="TAK 014"/>
    <s v="-"/>
  </r>
  <r>
    <s v="ZL133/03/24"/>
    <x v="0"/>
    <s v="SZCHARA"/>
    <s v="[RS14/3] SZSE24031506 177KVBACXRNN1398 "/>
    <s v="-"/>
    <x v="0"/>
    <x v="0"/>
    <n v="1"/>
    <s v="40HC"/>
    <s v="-"/>
    <n v="2"/>
    <s v="MSMU8776620"/>
    <x v="3"/>
    <d v="2024-03-30T00:00:00"/>
    <s v="Xingang"/>
    <x v="67"/>
    <s v="Gdańsk"/>
    <s v="Enigma 33a"/>
    <s v="HEBEI MINGSHUAI FURNITURE SALES CO.,LTD."/>
    <s v="Szchara sp. z o.o."/>
    <s v="Commodity: CHAIR AND TABLE_x000a_1X40HQ/68.07CBM/12592KGS/2820PACKAGES/CRD:23rd.Mar/FOB "/>
    <s v="-"/>
    <s v="OFR XINGANG/ TIANJIN - GDANSK 40HC : 2400 USD per container_x000a_THC 205 EUR per container_x000a_DOC 55 EUR per container_x000a_ISPS 25 EUR per container _x000a_ODPRAWA 250 PLN per B/L_x000a_TRANSPORT 20DV/40HC : 1900 PLN per container_x000a_ INSURANCE: 270 PLN_x000a_TOTAL : 40HC : 3265 USD "/>
    <s v="-"/>
    <s v="TAK 013"/>
    <s v="-"/>
  </r>
  <r>
    <s v="ZL194/02/24"/>
    <x v="0"/>
    <s v="Platinum Property"/>
    <s v="[RS4/2] SZSE24022908"/>
    <s v="MSC"/>
    <x v="1"/>
    <x v="0"/>
    <n v="1"/>
    <s v="40HC"/>
    <n v="12710"/>
    <n v="2"/>
    <s v="MEDU7491228"/>
    <x v="3"/>
    <d v="2024-03-23T00:00:00"/>
    <s v="Xingang"/>
    <x v="68"/>
    <s v="Gdańsk"/>
    <s v="AC Porath"/>
    <s v="-"/>
    <s v="-"/>
    <s v="-"/>
    <s v="-"/>
    <s v="EXW: 985 USD _x000a_O/F: USD3500/40HQ via CMA_x000a_ETD: 15th.Mar with SI cut off date 11th.Mar_x000a_ETA: 11th.May_x000a_T/T: 57 Days_x000a__x000a__x000a_THC 275 EUR/ per container_x000a_DOC 55 EUR/ per container_x000a_ISPS 25 EUR/ per container_x000a_ODPRAWA 175 EUR / per zgłoszenie _x000a_TRANSPORT GDN &gt; RUMIA : 1400 PLN + BAF 3 % na dziś / per container"/>
    <s v="rate USD2800/40HQ+EXW cost: USD820/40HQ"/>
    <s v="-"/>
    <s v="-"/>
  </r>
  <r>
    <s v="ZL189/02/24"/>
    <x v="0"/>
    <s v="MTM Profi"/>
    <s v="RO: 0172596 BNE/GDN/00095"/>
    <s v="-"/>
    <x v="0"/>
    <x v="1"/>
    <n v="3"/>
    <s v="plt"/>
    <n v="2688"/>
    <n v="6.7080000000000002"/>
    <s v="-"/>
    <x v="3"/>
    <d v="2024-03-28T00:00:00"/>
    <s v="Brisbane"/>
    <x v="69"/>
    <s v="Gdańsk"/>
    <s v="Taksim-pol"/>
    <s v="Dobinsons Spring &amp; Suspension - Australia_x000a_58 Hollingsworth Street_x000a_North Rockhampton QLD 4701"/>
    <s v="-"/>
    <s v="-"/>
    <s v="-"/>
    <s v="-"/>
    <s v="-"/>
    <s v="-"/>
    <s v="-"/>
  </r>
  <r>
    <s v="ZL171/03/24"/>
    <x v="0"/>
    <s v="MTM Profi"/>
    <s v="0175345 MEL/GDN/0068203"/>
    <s v="-"/>
    <x v="0"/>
    <x v="1"/>
    <n v="5"/>
    <s v="plt"/>
    <n v="5059"/>
    <n v="12.775"/>
    <s v="FFAU3093062"/>
    <x v="3"/>
    <d v="2024-04-06T00:00:00"/>
    <s v="Brisbane"/>
    <x v="70"/>
    <s v="Gdańsk"/>
    <s v="Taksim-pol"/>
    <s v="Dobinsons Spring &amp; Suspension - Australia_x000a_58 Hollingsworth Street_x000a_North Rockhampton QLD 4701"/>
    <s v="-"/>
    <s v="-"/>
    <s v="-"/>
    <s v="OFR BRISBANE - HKG - GDAŃSK : 187 USD WM * 12,01 cbm = 2245,87 USD THC 20 USD WM *12,01 cbm = 240,20 USD DOC 20 USD ODPRAWA 250 PLN TRANSPORT GDN &gt; DŁUGOŁEKA ( AUTO BEZ WINDY) : 2200 PLN  _x000a__x000a_TOTAL: 2506,07 USD + 2450 PLN "/>
    <s v="-"/>
    <s v="-"/>
    <s v="-"/>
  </r>
  <r>
    <s v="ZL183/03/24"/>
    <x v="0"/>
    <s v="NETBUY"/>
    <s v="[RS15/3] "/>
    <s v="-"/>
    <x v="1"/>
    <x v="1"/>
    <n v="125"/>
    <s v="ctn"/>
    <n v="2172"/>
    <n v="6.359"/>
    <s v="FWRU0237750"/>
    <x v="3"/>
    <d v="2024-03-29T00:00:00"/>
    <s v="Changsha "/>
    <x v="2"/>
    <s v="Warszawa"/>
    <s v="33a ENIGMA"/>
    <s v="Yangjiang Kaimi Import and Export Co., Ltd"/>
    <s v="NETBUY KACPER ŻEBROWSKI "/>
    <s v="6.359CBM/2172.5KGS/125CTNS/CRD:Ready/EXW Changsha to Warsaw via LCL"/>
    <s v="-"/>
    <s v="EXW Changsha to Warsaw_x000a__x000a_EXW Cost: 400 USD ( DOC, CUSTOM CLEARANCE,CONSOLIDATION FEE)_x000a__x000a_R/F: USD150/CBM via Changsha station = 953,85 USD _x000a__x000a_ODPRAWA 300 PLN_x000a_TRANSPORT MALA : 1350 PLN _x000a__x000a_ETD: 30th.Mar_x000a_T/T: Around 18 Days"/>
    <s v="EXW Changsha to Warsaw_x000a_R/F: USD135/CBM via Changsha station_x000a_ETD: 30th.Mar_x000a_T/T: Around 18 Days_x000a_EXW Cost:_x000a_Doc: USD150/BL_x000a_Customs clearance fee: USD50/BL_x000a_Consolidate fee: USD75/Shipment"/>
    <s v="-"/>
    <s v="-"/>
  </r>
  <r>
    <s v="ZL049/03/24"/>
    <x v="0"/>
    <s v="Alkam"/>
    <s v="PFC04063/2024/MRY EXW morski - NIHON - - ZXPCD20240104"/>
    <s v="-"/>
    <x v="1"/>
    <x v="1"/>
    <n v="27"/>
    <s v="package"/>
    <n v="308"/>
    <n v="1.855"/>
    <s v="-"/>
    <x v="4"/>
    <d v="2024-03-25T00:00:00"/>
    <s v="Shenzhen"/>
    <x v="56"/>
    <s v="Gdańsk"/>
    <s v="Agencja Klienta - DTA"/>
    <s v="Shenzhen Zhongxi Security Co., Ltd"/>
    <s v="Alkam"/>
    <s v="-"/>
    <s v="Kinmy Jiang_x000a_Tel: +86 1311 957 4523_x000a_Email: cs5.exp.szx@chinacoast.com.cn"/>
    <s v="EXW Shenzhen: 355 USD_x000a_OFR 70 USD WM * 1,754 CBM = 122,78 USD _x000a_THC 15 USD WM *1,754 CBM = 26,31 USD_x000a_DOC 25 USD_x000a_TRANSPORT  580 = 148 USD _x000a_ _x000a_TOTAL: 677,09 USD "/>
    <s v="EXW Shenzhen: 280 USD_x000a_+ stawki taryfowe"/>
    <s v="-"/>
    <s v="-"/>
  </r>
  <r>
    <s v="ZL007/04/24"/>
    <x v="0"/>
    <s v="Decorini"/>
    <s v="PFC05622 "/>
    <s v="-"/>
    <x v="2"/>
    <x v="1"/>
    <n v="33"/>
    <s v="package"/>
    <n v="273.10000000000002"/>
    <n v="3.2"/>
    <s v="-"/>
    <x v="4"/>
    <d v="2024-04-16T00:00:00"/>
    <s v="Shanghai"/>
    <x v="71"/>
    <s v="Gdańsk"/>
    <s v="-"/>
    <s v="WENZHOU SHENGYI IMP&amp;EXP CO.,LTD. (A)"/>
    <s v="ANITA MICHALCZYK DECORINI"/>
    <m/>
    <s v="Mr. Fengy _x000a_Tel: +86-21-63930701 _x000a_E-mail: swin@jiyida-logistics.com"/>
    <s v="EXW Shanghai: 380 USD_x000a_OFR SHNAGHAI – GDANSK : 90 USD WM *3,2 CBM = 288 USD _x000a_THC 20 USD WM * 3,2CBM = 64 USD _x000a_DOC 30 USD_x000a_ODPRAWA 250 PLN _x000a_TRANSPORT GDN &gt; Podciernie 21 05-319 Cegłów: 850 PLN _x000a__x000a_TOTAL : 762 USD + 1100 PLN "/>
    <s v="EXW Shanghai: 280 USD"/>
    <s v="-"/>
    <s v="-"/>
  </r>
  <r>
    <s v="ZL092/03/24 -sprawdz_x000a_ZL122/03/24"/>
    <x v="0"/>
    <s v="MTM Profi"/>
    <s v="RO: 0174462 TXG/GDY/2403217"/>
    <s v="-"/>
    <x v="0"/>
    <x v="1"/>
    <n v="3"/>
    <s v="plt"/>
    <n v="2588.67"/>
    <n v="4.8099999999999996"/>
    <s v="-"/>
    <x v="4"/>
    <d v="2024-04-12T00:00:00"/>
    <s v="Kaoshiung"/>
    <x v="72"/>
    <s v="Gdansk"/>
    <s v="Taksim-pol"/>
    <s v="-"/>
    <s v="-"/>
    <s v="-"/>
    <s v="-"/>
    <s v="FOB KAOHSIUNG - GDAŃSK : 99 USD WM * 5,175 CBM = 512,32 USD THC 20 USD WM * 5,175 CBM = 103,50 USD DOC 27 USD per B/L ODPRAWA 250 PLN TRANSPORT GDN &gt; CHĘCINY 26-060 : 1300 PLN _x000a__x000a_TOTAL : 642,82 USD = 1550 PLN "/>
    <s v="73 USD WM"/>
    <s v="-"/>
    <s v="-"/>
  </r>
  <r>
    <s v="ZL234/03/24"/>
    <x v="0"/>
    <s v="Barista"/>
    <s v="Friendly 0175975"/>
    <s v="-"/>
    <x v="2"/>
    <x v="1"/>
    <n v="42"/>
    <s v="ctn"/>
    <n v="790"/>
    <n v="1.33"/>
    <s v="-"/>
    <x v="4"/>
    <d v="2024-04-08T00:00:00"/>
    <s v="Kaoshiung"/>
    <x v="72"/>
    <s v="Gdansk"/>
    <s v="Taksim-pol"/>
    <s v="-"/>
    <s v="-"/>
    <s v="-"/>
    <s v="-"/>
    <s v="EXW TAIWAN: 500 USD _x000a_PALETYZACJA 150 USD per paleta_x000a_OFR KAOHSIUNG – GDAŃSK : 110 USD WM *2,496 CBM = 274,56 USD_x000a_THC 25 USD WM *2,496CBM= 62,40 USD_x000a_DOC 25 USD _x000a_ODPRAWA 250 PLN_x000a_TRANSPORT GDN – WAW: 550 PLN                           _x000a__x000a_TOTAL : 1011,96 USD + 800 PLN  // do tego dorzucić jeszcze te 150 USD za lotnika ? "/>
    <s v="-"/>
    <s v="-"/>
    <s v="-"/>
  </r>
  <r>
    <s v="-"/>
    <x v="0"/>
    <s v="NETTO"/>
    <s v="3x20DV"/>
    <s v="-"/>
    <x v="0"/>
    <x v="0"/>
    <n v="3"/>
    <s v="20DV"/>
    <s v="-"/>
    <n v="3"/>
    <s v="-"/>
    <x v="4"/>
    <d v="2024-04-17T00:00:00"/>
    <s v="Mundra"/>
    <x v="69"/>
    <s v="Gdynia"/>
    <s v="-"/>
    <s v="-"/>
    <s v="-"/>
    <s v="-"/>
    <s v="-"/>
    <s v="-"/>
    <s v="-"/>
    <s v="-"/>
    <s v="-"/>
  </r>
  <r>
    <s v="ZL184/03/24"/>
    <x v="0"/>
    <s v="Tecweld"/>
    <s v="[RS18/3] SZSE24032516 238110558 "/>
    <s v="MSK"/>
    <x v="0"/>
    <x v="0"/>
    <n v="2"/>
    <s v="20DV"/>
    <s v="-"/>
    <n v="2"/>
    <s v="-"/>
    <x v="4"/>
    <d v="2024-04-16T00:00:00"/>
    <s v="Ningbo"/>
    <x v="73"/>
    <s v="Gdańsk"/>
    <s v="AC Klienta - Taksim-pol"/>
    <s v="Shaoxing Xieli Fire Safety Equipment Co., Ltd"/>
    <s v="-"/>
    <s v="Commodity: EMPTY CYLINDERS _x000a_2X20GP/58.8CBM/48520KGS/4384PKGS/Stuffing date:28th.Mar/FOB Ningbo to Gdansk"/>
    <s v="-"/>
    <s v="OFR NINGBO – GDAŃSK 20DV : 1875 USD per container_x000a_THC 205 EUR per container_x000a_DOC 55 EUR per container_x000a_ISPS 25 EUR per container _x000a_TRANSPORT GDN &gt; BYTOM 20DV ( 24,5) : 3125 PLN per container"/>
    <s v="O/F: USD1625/20GP "/>
    <s v="-"/>
    <s v="-"/>
  </r>
  <r>
    <s v="ZL012/04/24"/>
    <x v="0"/>
    <s v="Elpromet"/>
    <s v="[RS1/4] SZSE24040201 238162423 "/>
    <s v="CMA"/>
    <x v="0"/>
    <x v="0"/>
    <n v="1"/>
    <s v="20DV"/>
    <n v="8978"/>
    <n v="1"/>
    <s v="MSKU2744368"/>
    <x v="4"/>
    <d v="2024-04-16T00:00:00"/>
    <s v="Ningbo"/>
    <x v="73"/>
    <s v="Gdańsk"/>
    <s v="-"/>
    <s v="ZHEJIANG ACCEL TECHNOLOGY CO., LTD._x000a_NR. 204-206, BLDG 9, KAITAI AUTO CENTER, #18 TONGQU RD, QUZHOU, ZHEJIANG CHINA_x000a_OSOBA KONTAKTOWA: ZOE, TEL. 0086570 8880109, e-mail: zoe.zhan@accel.cc"/>
    <s v="ELPROMET RADOSLAW KACZMARCZYK"/>
    <s v="Commodity: CABLE TIE_x000a_1X20GP/28.09CBM/8978KGS/458CTNS/CRD:4th.Apr/FOB Ningbo to Gdansk"/>
    <s v="-"/>
    <s v="OFR NINGBO – GDAŃSK 20DV: 1700 USD _x000a_THC 205 EUR_x000a_DOC 55 EUR_x000a_ISPS 25 EUR_x000a_TRANSPORT 1900 PLN_x000a_ _x000a_TOTAL : 2485 USD "/>
    <s v="USD1625/20GP"/>
    <s v="-"/>
    <s v="-"/>
  </r>
  <r>
    <s v="ZL015/04/24"/>
    <x v="0"/>
    <s v="Omega PHT"/>
    <s v="RO: 177720"/>
    <s v="-"/>
    <x v="2"/>
    <x v="1"/>
    <n v="6"/>
    <s v="plt"/>
    <n v="2706.68"/>
    <n v="3"/>
    <s v="-"/>
    <x v="4"/>
    <d v="2024-04-13T00:00:00"/>
    <s v="Busan"/>
    <x v="74"/>
    <s v="Gdańsk"/>
    <s v="AC Klienta - DTA "/>
    <s v="-"/>
    <s v="-"/>
    <s v="-"/>
    <s v="-"/>
    <s v="OFR BUSAN – GDAŃSK 65 USD WM * 2,7 = 183,60 USD _x000a_THC 20 USD WM *2,7 = 54 USD _x000a_DOC 25 USDdok _x000a_TRANSPORT GDN &gt; PŁOCK : 1200 PLN _x000a_ _x000a_TOTAL : 262,60 USD + 1420 PLN "/>
    <s v="R3964574"/>
    <s v="-"/>
    <s v="-"/>
  </r>
  <r>
    <s v="ZL207/02/24"/>
    <x v="0"/>
    <s v="FOXPOL"/>
    <s v="[RS17/3] / SZSE24032514 / 237492128C   S:EVERGREAT INDUSTRIES /C:FOXPOL"/>
    <s v="-"/>
    <x v="0"/>
    <x v="0"/>
    <n v="1"/>
    <s v="40HC"/>
    <s v="-"/>
    <n v="2"/>
    <s v="-"/>
    <x v="4"/>
    <d v="2024-04-14T00:00:00"/>
    <s v="Qingdao"/>
    <x v="75"/>
    <s v="Gdańsk"/>
    <s v="AC Klienta - Complex SAD"/>
    <s v="QINGDAO EVERGREAT INDUSTRIES CO., LTD_x000a_ADD:CHAOYANGSHAN ROAD,HUANGDAO DISTRICT,QINGDAO,CHINA_x000a_Email: oceanjk@163.com     Contact person:ocean zhao                                                       _x000a_Wechat/WhatsApp:008613863918122"/>
    <s v="FOXPOL Jacek Lisinski"/>
    <s v="Commodity: TIRES_x000a_1X40HQ/68CBM/10000KGS/CRD:25th.Mar/FOB Qingdao to Gdansk"/>
    <s v="-"/>
    <s v="OFR QINGDAO -GDANSK 40HC : 3300 USD per container _x000a_THC 255 EUR per container_x000a_DOC 55 EUR per container_x000a_ISPS 25 EUR per container_x000a_ODPRAWA 250 PLN_x000a_TRANSPORT GDN &gt; TORUŃ 40HC : 1900 PLN per container"/>
    <s v="3100 USD"/>
    <s v="-"/>
    <s v="-"/>
  </r>
  <r>
    <s v="ZL157/03/24"/>
    <x v="0"/>
    <s v="DRGLASS"/>
    <s v="[RS2/4] SZSE24040310 238113641"/>
    <s v="-"/>
    <x v="0"/>
    <x v="0"/>
    <n v="2"/>
    <s v="20DV"/>
    <s v="-"/>
    <n v="2"/>
    <s v="-"/>
    <x v="4"/>
    <d v="2024-04-15T00:00:00"/>
    <s v="Xingang"/>
    <x v="75"/>
    <s v="Gdańsk"/>
    <s v="-"/>
    <s v="Email: sales23@topko.com _x000a_Tel/WeChat/Whatsapp:: 86 13292318821 _x000a_Skype: Topko-sales2 _x000a_TOPKO PRODUCT GROUP LTD _x000a_Add: RM 6G, 2981 Dongfang Road, Shanghai , 200125, China _x000a_Contact person: Jim Li "/>
    <s v="DRGLASS"/>
    <s v="Commodity: Dumbells_x000a_2X20GP/61.13CBM/50996.95KGS/2185PKGS/CRD:Ready/FOB Xingang to Gdansk"/>
    <s v="-"/>
    <s v="OFR SHANGHAI – GDAŃSK : 1825 USD/ 20DV per container_x000a_THC 205 EUR per container_x000a_DOC 55 EUR per container_x000a_ISPS 25 EUR per container_x000a_ODPRAWA 250 PLN_x000a_TRANSPORT GDN &gt; WIELUŃ 98-300; 3400PLN ( 20DV - 25 TON ) "/>
    <s v="O/F: USD1700/20GP via MSC"/>
    <s v="-"/>
    <s v="-"/>
  </r>
  <r>
    <s v="ZL131/03/24"/>
    <x v="0"/>
    <s v="Tecweld"/>
    <s v="[RS3/4] SZSE24040913  238201163 "/>
    <s v="-"/>
    <x v="0"/>
    <x v="0"/>
    <n v="1"/>
    <s v="20DV"/>
    <n v="14750"/>
    <n v="1"/>
    <s v="-"/>
    <x v="4"/>
    <d v="2024-04-23T00:00:00"/>
    <s v="Qingdao"/>
    <x v="75"/>
    <s v="Gdańsk"/>
    <s v="AC Klienta - Taksim-pol"/>
    <s v="-"/>
    <s v="-"/>
    <s v="14750KGS_x0009_27.9CBM"/>
    <s v="Richard"/>
    <s v="KONSOLIDACJA CHINY : 150 USD_x000a_O/F: USD1720/20GP via MSK_x000a_ETD: 31st.Mar with SI cut off date 26th.Mar_x000a_ETA: 24th.Mar_x000a_THC 205 EUR_x000a_DOC 55 EUR_x000a_ISPS 25 EUR_x000a_ _x000a_TRANSPORT GDN &gt; BYTOM 20DV : 2950 PLN "/>
    <s v="-"/>
    <s v="-"/>
    <s v="-"/>
  </r>
  <r>
    <s v="ZL010/04/24"/>
    <x v="0"/>
    <s v="SKZ"/>
    <s v="[RS4/4] SZSE24040926 238202425 "/>
    <s v="-"/>
    <x v="0"/>
    <x v="0"/>
    <n v="1"/>
    <s v="20DV"/>
    <s v="-"/>
    <n v="1"/>
    <s v="-"/>
    <x v="4"/>
    <d v="2024-04-25T00:00:00"/>
    <s v="Ningbo"/>
    <x v="75"/>
    <s v="Gdańsk"/>
    <s v="Tranzyt do Chrzanowa"/>
    <s v="ZHEJIANG NEW SORL AUTO PARTS CO.,LTD"/>
    <s v="SKZ AK KOLMAN SP.J."/>
    <s v="Commodity: AUTO PARTS_x000a_1X20GP/28.03CBM/12000KGS/634CTNS/CRD:12th.Apr/FOB Ningbo to Gdansk"/>
    <s v="-"/>
    <m/>
    <m/>
    <m/>
    <m/>
  </r>
  <r>
    <s v="ZL093/01/24"/>
    <x v="0"/>
    <s v="MTM Profi"/>
    <s v="RO: 0166481 SYD/HKG/0068206 BNE/HKG/03844"/>
    <s v="-"/>
    <x v="0"/>
    <x v="1"/>
    <n v="1"/>
    <s v="plt"/>
    <n v="650"/>
    <n v="1.2010000000000001"/>
    <s v="FFAU3093062"/>
    <x v="4"/>
    <d v="2024-04-06T00:00:00"/>
    <s v="Brisbane"/>
    <x v="2"/>
    <s v="Gdańsk"/>
    <s v="Taksim-pol"/>
    <s v="Dobinsons Spring &amp; Suspension - Australia_x000a_58 Hollingsworth Street_x000a_North Rockhampton QLD 4701"/>
    <s v="-"/>
    <s v="-"/>
    <s v="-"/>
    <s v="FOB BRISBANE via HKG to GDANSK : 207 USD WM_x000a_THC 20 USD WM _x000a_DOC 20 USD_x000a_ODPRAWA 220 PLN TRANSPORT GDN &gt; BILCZA - auto z windą: 475 PLN"/>
    <s v="-"/>
    <s v="-"/>
    <m/>
  </r>
  <r>
    <s v="ZL087/03/24"/>
    <x v="0"/>
    <s v="MEMFIS"/>
    <s v="[RS13/3] SZSE24031204 237033022 "/>
    <s v="Maersk"/>
    <x v="6"/>
    <x v="0"/>
    <n v="1"/>
    <s v="40HC"/>
    <s v="-"/>
    <n v="2"/>
    <s v="-"/>
    <x v="4"/>
    <d v="2024-04-14T00:00:00"/>
    <s v="Ningbo"/>
    <x v="2"/>
    <s v="HAMBURG"/>
    <s v="AC Klienta"/>
    <s v="ShenZhen Ju Wei Trading limited company"/>
    <s v="MEMFIS SPÓŁKA Z OGRANICZONĄ ODPOWIEDZIALNOŚCIĄ    "/>
    <s v="Commodity: Coat Hanger_x000a_1X40HQ/68CBM/12000KGS/584CTNS=7008PCS/CRD:Ready/EXW Shaoxing to Hamburg via Ningbo"/>
    <s v="EXW Cost: USD1100/40HQ_x000a_OFR MAIN PORTS CHINA – HAMBURG: 2900 USD _x000a_THC 285 EUR_x000a_DOC 75 EUR_x000a_ISPS 35 EUR_x000a_TRANSPORT HAMBURG – ZACZERNIE : 1900 EUR ( do 15 ton) "/>
    <s v="USD2700/40HQ+EXW Cost: USD900/40HQ"/>
    <s v="2700 USD"/>
    <s v="-"/>
    <s v="-"/>
  </r>
  <r>
    <s v="ZL034/04/24"/>
    <x v="0"/>
    <s v="Platinum Property"/>
    <s v="[RS5/4] 40HC from CARPET to PLATINUM"/>
    <s v="-"/>
    <x v="1"/>
    <x v="0"/>
    <n v="1"/>
    <s v="40HC"/>
    <s v="-"/>
    <n v="2"/>
    <s v="-"/>
    <x v="4"/>
    <d v="2024-04-29T00:00:00"/>
    <s v="Tianjin"/>
    <x v="2"/>
    <s v="Gdańsk"/>
    <s v="AC Porath"/>
    <s v="Tianjin Maya Carpet Co., LTD."/>
    <s v="Platinum Property sp. z o. o."/>
    <s v="Commodity: Carpet_x000a_1X40HQ/68CBM/11000KGS/500CTNS/CRD:10 Days later/EXW Wuqing to Gdansk via Xingang port"/>
    <s v="-"/>
    <s v="EXW: 1050 USD _x000a_OFR XINGANG - GDANSK 40HC: 2900 USD _x000a_THC: 290 USD_x000a_ODPRAWA: 70 USD _x000a_TRANSPORT POZNAN 2500 PLN"/>
    <s v="USD2670/40HQ+EXW cost: USD820/40HQ."/>
    <s v="-"/>
    <s v="-"/>
  </r>
  <r>
    <s v="ZL104/10/23"/>
    <x v="0"/>
    <s v="Platinum Property"/>
    <s v="[RS1/10]  SZSE23101601 "/>
    <s v="-"/>
    <x v="0"/>
    <x v="0"/>
    <n v="2"/>
    <s v="40HC"/>
    <m/>
    <n v="4"/>
    <s v="EGHU9496255_x000a_TGBU4459457"/>
    <x v="1"/>
    <s v="-"/>
    <s v="-"/>
    <x v="3"/>
    <s v="-"/>
    <s v="Porath"/>
    <s v="-"/>
    <s v="-"/>
    <n v="4617.3"/>
    <s v="-"/>
    <s v="-"/>
    <s v="-"/>
    <s v="-"/>
    <m/>
  </r>
  <r>
    <s v="-"/>
    <x v="0"/>
    <s v="NETBUY"/>
    <s v="RAIL cargo for NETBUY/Oferta EXW 40'hc kolej"/>
    <s v="-"/>
    <x v="1"/>
    <x v="0"/>
    <n v="1"/>
    <s v="40HC"/>
    <s v="-"/>
    <s v="-"/>
    <s v="-"/>
    <x v="5"/>
    <s v="-"/>
    <s v="Guangzhou"/>
    <x v="2"/>
    <s v="Warszawa"/>
    <s v="33a"/>
    <s v="-"/>
    <s v="-"/>
    <s v="-"/>
    <s v="-"/>
    <s v="-"/>
    <s v="Koszty lokalne Guangzhou: _x0009_Jednostka _x0009_40'HC _x0009_Waluta _x000a_pick up _x0009_kontener _x0009_2000 _x0009_USD _x000a__x0009__x0009__x0009__x000a_Załadunek _x0009_Rozładunek _x0009_40'HC _x0009_Waluta _x000a_Guangzhou _x0009_Warszawa _x0009_7300 _x0009_USD _x000a__x0009__x0009__x0009__x000a_Koszty lokalne Warszawa: _x0009_Jednostka _x0009_40'HC _x0009_Waluta _x000a_Handling fee _x0009_kontener _x0009_50 _x0009_USD _x000a__x0009__x0009__x0009__x000a__x0009_Szacunkowy koszt transportu: _x000a__x0009_9350 _x0009_USD "/>
    <s v="-"/>
    <s v="-"/>
  </r>
  <r>
    <s v="ZL047/03/24"/>
    <x v="0"/>
    <s v="PHU Kar-Pol"/>
    <s v="Odprawa + odwoz "/>
    <s v="-"/>
    <x v="2"/>
    <x v="0"/>
    <n v="1"/>
    <s v="40HC"/>
    <s v="-"/>
    <s v="-"/>
    <s v="-"/>
    <x v="5"/>
    <s v="-"/>
    <s v="-"/>
    <x v="2"/>
    <s v="HAMBURG"/>
    <s v="-"/>
    <s v="-"/>
    <s v="-"/>
    <s v="-"/>
    <s v="-"/>
    <s v="-"/>
    <s v="-"/>
    <s v="-"/>
    <s v="-"/>
  </r>
  <r>
    <s v="ZL170/03/24"/>
    <x v="0"/>
    <s v="MTM Profi"/>
    <s v="0175335 Import USA LCL Przyjalem pod  RO 175372"/>
    <s v="-"/>
    <x v="7"/>
    <x v="1"/>
    <n v="1"/>
    <s v="plt"/>
    <n v="600"/>
    <n v="1.887"/>
    <s v="-"/>
    <x v="5"/>
    <s v="-"/>
    <s v="Chicago"/>
    <x v="2"/>
    <s v="Gdańsk"/>
    <s v="Taksim-pol"/>
    <s v="-"/>
    <s v="-"/>
    <s v="-"/>
    <s v="-"/>
    <s v="EXW  Rockford, IL 61104 : 575 USD_x000a_ _x000a_OFR CHICAGO - GDYNIA : 98 USD WM * 2,257 CBM = 221,18 USD _x000a_THC 35 USD WM*2,257 CBM =78,99 USD_x000a_DOC 25 USD _x000a_ODPRAWA 250 PLN _x000a_TRANSPORT GDN &gt; BILCZA :650 PLN "/>
    <s v="-"/>
    <s v="-"/>
    <s v="-"/>
  </r>
  <r>
    <s v="ZL125/03/24"/>
    <x v="0"/>
    <s v="VICTORIA"/>
    <s v="[RS6/4] 40HC /S:LIUTAIMATTRESS /C:VICTORIA "/>
    <s v="-"/>
    <x v="2"/>
    <x v="0"/>
    <n v="1"/>
    <s v="40HC"/>
    <s v="-"/>
    <n v="2"/>
    <s v="-"/>
    <x v="4"/>
    <d v="2024-04-29T00:00:00"/>
    <s v="Tianjin"/>
    <x v="2"/>
    <s v="Gdansk"/>
    <s v="33a ENIGMA"/>
    <s v="LANGFANG LIUTAI FURNITURE CO.,LTD._x000a_LIUTAIMATTRESS lisa@liutaimattress.com "/>
    <s v="VICTORIA SP. Z O. O"/>
    <s v="Commodity: BED_x000a_1X40HQ/68CBM/10000KGS/330CTNS/CRD:23rd.Apr/FOB Xingang to Gdansk"/>
    <s v="-"/>
    <s v="-"/>
    <s v="-"/>
    <s v="-"/>
    <s v="-"/>
  </r>
  <r>
    <s v="ZL126/03/24"/>
    <x v="0"/>
    <s v="VICTORIA"/>
    <s v="40HC z SHANGHAI / NINGBO– GDANSK S/ANHUI "/>
    <m/>
    <x v="2"/>
    <x v="0"/>
    <n v="1"/>
    <s v="40HC"/>
    <s v="-"/>
    <n v="2"/>
    <s v="-"/>
    <x v="5"/>
    <s v="-"/>
    <s v="Shanghai"/>
    <x v="2"/>
    <s v="Gdańsk"/>
    <s v="33a ENIGMA"/>
    <s v="Anhui Willsoon Furniture Co.,Ltd_x000a_Add.: Baishijian Rd., Langxi Economic Development Zone, Anhui, China_x000a_ _x000a_Mobile:+86 181 3025 3152/+86 187 5631 2917_x000a_Wechat/ Whatsapp/Facebook: +86 187 5631 2917_x000a_Skype ：+86 181 3025 3152_x000a_Email: carrie@willsoonfurn.com"/>
    <s v="VICTORIA SP. Z O. O"/>
    <s v="-"/>
    <s v="-"/>
    <s v="-"/>
    <s v="-"/>
    <s v="-"/>
    <s v="-"/>
  </r>
  <r>
    <s v="ZL187/03/24"/>
    <x v="0"/>
    <s v="ALLBAG"/>
    <s v="-"/>
    <s v="-"/>
    <x v="2"/>
    <x v="0"/>
    <n v="1"/>
    <s v="20DV"/>
    <s v="-"/>
    <s v="-"/>
    <s v="-"/>
    <x v="5"/>
    <s v="-"/>
    <s v="-"/>
    <x v="2"/>
    <s v="Gdańsk"/>
    <s v="-"/>
    <s v="-"/>
    <s v="-"/>
    <s v="-"/>
    <s v="-"/>
    <s v="OFR NINGBO – GDANSK : 1450 USD per 20 DV _x000a_THC 205 EUR_x000a_DOC 55 EUR_x000a_ISPS 25 EUR_x000a_ODPRAWA 250 PLN _x000a_TRANSPORT kolej GDN&gt; Świnna Poręba 127a, 34-106 Mucharz 20 DV: 3500 PLN "/>
    <s v="-"/>
    <s v="-"/>
    <s v="-"/>
  </r>
  <r>
    <s v="ZL195/03/24"/>
    <x v="0"/>
    <s v="PSB Mrowka"/>
    <s v="1x40HQ FOB Ningbo ETD 15.04"/>
    <s v="-"/>
    <x v="2"/>
    <x v="0"/>
    <n v="1"/>
    <s v="40HC"/>
    <s v="-"/>
    <n v="2"/>
    <s v="-"/>
    <x v="5"/>
    <s v="-"/>
    <s v="Ningbo"/>
    <x v="2"/>
    <s v="Gdańsk"/>
    <s v="-"/>
    <s v="-"/>
    <s v="-"/>
    <s v="-"/>
    <s v="-"/>
    <s v="-"/>
    <s v="-"/>
    <s v="-"/>
    <s v="-"/>
  </r>
  <r>
    <s v="-"/>
    <x v="0"/>
    <s v="DALTON"/>
    <s v="PFC05103"/>
    <s v="-"/>
    <x v="2"/>
    <x v="1"/>
    <s v="-"/>
    <s v="-"/>
    <s v="-"/>
    <s v="-"/>
    <s v="-"/>
    <x v="5"/>
    <d v="2024-04-16T00:00:00"/>
    <s v="Ningbo"/>
    <x v="2"/>
    <s v="Gdańsk"/>
    <s v="-"/>
    <s v="-"/>
    <s v="-"/>
    <s v="-"/>
    <s v="-"/>
    <s v="OFR NINGBO – GDAŃSK 66 USD WM _x000a_THC 17 USD WM _x000a_DOC 25 USD"/>
    <m/>
    <m/>
    <m/>
  </r>
  <r>
    <s v="ZL243/03/24"/>
    <x v="0"/>
    <s v="Platinum Property"/>
    <s v="RAIL 33 cartons SMLXA24042044 "/>
    <s v="-"/>
    <x v="2"/>
    <x v="1"/>
    <n v="33"/>
    <s v="ctn"/>
    <n v="429.9"/>
    <n v="5.65"/>
    <s v="-"/>
    <x v="5"/>
    <d v="2024-04-12T00:00:00"/>
    <s v="Shenzhen"/>
    <x v="2"/>
    <s v="Małaszewice"/>
    <m/>
    <m/>
    <m/>
    <m/>
    <m/>
    <m/>
    <m/>
    <m/>
    <m/>
  </r>
  <r>
    <s v="ZL040/04/24"/>
    <x v="0"/>
    <s v="Alkam"/>
    <s v="PFC05721"/>
    <s v="-"/>
    <x v="1"/>
    <x v="1"/>
    <n v="30"/>
    <s v="ctn"/>
    <n v="345"/>
    <n v="1.85"/>
    <s v="-"/>
    <x v="4"/>
    <d v="2024-04-21T00:00:00"/>
    <s v="Shenzhen"/>
    <x v="76"/>
    <s v="Gdańsk"/>
    <s v="AC Klienta - DTA "/>
    <s v="Nihon "/>
    <s v="ALKAM SECURITY SP. Z O.O. SP. K"/>
    <s v="-"/>
    <s v="-"/>
    <s v="EXW: 295 USD_x000a_OFR SHENZHEN - GDAŃSK 70 USD WM * 1,85 CBM = 129,50 USD _x000a_THC 15 USD WM * 1,85 CBM =27,75 USD _x000a_DOC 25 USD TRANSPORT GDN &gt; POZNAŃ : 400 PLN ( 100 USD)_x000a_TOTAL : 577,25 USD"/>
    <s v="EXW: 270 USD_x000a_55USD WM_x000a_20USD DOC_x000a_10USD WM"/>
    <m/>
    <m/>
  </r>
  <r>
    <s v="ZL035/04/24"/>
    <x v="0"/>
    <s v="NETBUY"/>
    <s v="LCL RAIL for NETBUY/S:YONGKANG NIHAO INDUSTRY AND TRADE CO.,LTD YONGKANG CITY ZHEJIANG CHINA//Tel: +86 13566751386 //15,5CBM -4000KG//"/>
    <s v="-"/>
    <x v="1"/>
    <x v="1"/>
    <n v="125"/>
    <s v="ctn"/>
    <m/>
    <n v="15.5"/>
    <s v="-"/>
    <x v="5"/>
    <s v="-"/>
    <s v="-"/>
    <x v="2"/>
    <s v="Małaszewice"/>
    <s v="-"/>
    <s v="-"/>
    <s v="-"/>
    <s v="-"/>
    <s v="-"/>
    <s v="EXW CHARGES: USD 495_x000a_Rail rate: USD 155 /CBM * 15,5CBM = 2402,50 USD_x000a_Odprawa 300 PLN _x000a_Dostawa Radomsko: 1950 PLN"/>
    <s v="-"/>
    <s v="-"/>
    <s v="-"/>
  </r>
  <r>
    <s v="ZL192/03/24"/>
    <x v="0"/>
    <s v="BAUHUS"/>
    <s v="-"/>
    <s v="-"/>
    <x v="2"/>
    <x v="0"/>
    <n v="2"/>
    <s v="40HC + 20DV"/>
    <s v="-"/>
    <s v="-"/>
    <s v="-"/>
    <x v="5"/>
    <s v="-"/>
    <s v="-"/>
    <x v="2"/>
    <s v="-"/>
    <s v="-"/>
    <s v="-"/>
    <s v="-"/>
    <s v="-"/>
    <s v="-"/>
    <s v="-"/>
    <s v="-"/>
    <s v="-"/>
    <s v="-"/>
  </r>
  <r>
    <s v="-"/>
    <x v="0"/>
    <m/>
    <m/>
    <m/>
    <x v="3"/>
    <x v="2"/>
    <m/>
    <m/>
    <m/>
    <m/>
    <m/>
    <x v="6"/>
    <m/>
    <m/>
    <x v="77"/>
    <m/>
    <m/>
    <m/>
    <m/>
    <m/>
    <m/>
    <m/>
    <m/>
    <m/>
    <m/>
  </r>
  <r>
    <s v="ZL046/04/24"/>
    <x v="0"/>
    <s v="LAMPCAR"/>
    <s v="PFC06335"/>
    <s v="-"/>
    <x v="0"/>
    <x v="1"/>
    <s v="-"/>
    <n v="5085"/>
    <n v="12.66"/>
    <s v="-"/>
    <s v="-"/>
    <x v="5"/>
    <s v="-"/>
    <s v="Ningbo"/>
    <x v="2"/>
    <s v="Gdańsk"/>
    <s v="Taksim-pol"/>
    <s v="-"/>
    <s v="-"/>
    <s v="-"/>
    <s v="-"/>
    <s v="OFR NINGBO – GDANSK : 60 USD WM *12,66 CBM = 759,60 USD _x000a_THC 20 USD WM *12,66CBM  = 253,20 USD _x000a_DOC 25 USD _x000a_ODPRAWA 220 PLN_x000a_TRANSPORT GDN &gt; BYDGOSZCZ: 1300 PLN _x000a__x000a_TOTAL : 1037,80 USD + 1520 PLN "/>
    <s v="OFR 53 USD WM"/>
    <s v="-"/>
    <s v="-"/>
  </r>
  <r>
    <s v="-"/>
    <x v="0"/>
    <s v="APPLINK"/>
    <s v="-"/>
    <s v="-"/>
    <x v="2"/>
    <x v="1"/>
    <n v="16"/>
    <s v="cases"/>
    <n v="680"/>
    <n v="2.83"/>
    <s v="-"/>
    <x v="5"/>
    <s v="-"/>
    <s v="Shenzhen"/>
    <x v="2"/>
    <s v="Warszawa"/>
    <s v="Taksim-pol"/>
    <s v="-"/>
    <s v="-"/>
    <s v="-"/>
    <s v="-"/>
    <s v="EXW: 825 USD_x000a_SZX---WAW    +500kg _x000a_1:200 net/net airfrieght:usd5.85/kg  by CA   ( szx--pek--fra--waw) -&gt; 3978 USD // TT 5-7 DNI _x000a_Lokalne w WAW:_x000a_Autko 600 PLN_x000a_Odprawa ostateczna w naszej AC 250 PLN"/>
    <s v="-"/>
    <s v="-"/>
    <s v="-"/>
  </r>
  <r>
    <s v="ZL047/04/24"/>
    <x v="0"/>
    <s v="Tecweld"/>
    <s v="-"/>
    <s v="-"/>
    <x v="0"/>
    <x v="0"/>
    <n v="1"/>
    <s v="20DV"/>
    <s v="-"/>
    <n v="1"/>
    <s v="-"/>
    <x v="5"/>
    <s v="-"/>
    <s v="Shanghai"/>
    <x v="2"/>
    <s v="Gdańsk"/>
    <s v="AC Klienta - Taksim-pol"/>
    <s v="Longren + Nantong + Pujiang"/>
    <s v="TECWELD"/>
    <s v="-"/>
    <s v="Richard"/>
    <s v="OFR SHANGHAI – GDAŃSK 20DV :  1750 USD _x000a_THC 205 EUR_x000a_DOC 55 EUR_x000a_ISPS 25 EUR_x000a_ _x000a_TRANSPORT GDN &gt; BYTOM 20DV : 2950 PLN "/>
    <s v="-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">
  <r>
    <s v="-"/>
    <s v="Import"/>
    <x v="0"/>
    <s v="-"/>
    <s v="-"/>
    <s v="FOB"/>
    <x v="0"/>
    <n v="1"/>
    <s v="40HC"/>
    <s v="-"/>
    <n v="2"/>
    <s v="-"/>
    <x v="0"/>
    <d v="2024-02-01T00:00:00"/>
    <s v="Shanghai"/>
    <d v="2024-03-05T00:00:00"/>
    <s v="Gdańsk"/>
    <s v="-"/>
    <s v="-"/>
    <s v="-"/>
    <s v="-"/>
    <s v="-"/>
    <s v="FOB Shanghai to Gdansk_x000a_O/F: USD5050/40HQ via EMC_x000a_THC 205 EUR per container_x000a_DOC 55 EUR per container_x000a_ISPS 25 EUR per container_x000a_ODPRAWA 220 PLN_x000a_TRANSPORT GDN &gt; WASILKÓW DO 24 TON (wagi towaru) 16-010 : 3300 PLN + BAF ( na razie 0 %) per container"/>
    <s v="4800 USD"/>
    <s v="-"/>
    <s v="-"/>
    <x v="0"/>
    <x v="0"/>
  </r>
  <r>
    <s v="ZL209/02/24"/>
    <s v="Import"/>
    <x v="1"/>
    <s v="CS 0368 II  Ok 13500 usd 2 kontenery "/>
    <s v="EMC"/>
    <s v="FOB"/>
    <x v="0"/>
    <n v="2"/>
    <s v="20DV"/>
    <s v="-"/>
    <n v="2"/>
    <s v="-"/>
    <x v="0"/>
    <d v="2024-03-20T00:00:00"/>
    <s v="Mundra"/>
    <d v="2024-05-15T00:00:00"/>
    <s v="Gdynia"/>
    <s v="AC Klienta"/>
    <s v="Comet Granito _x000a_Phone : +91 98795 09411_x000a_Email: export.granicer@gmail.com"/>
    <s v="-"/>
    <s v="-"/>
    <s v="Drishti Chauhan_x000a_Manager – Customer Service &amp; Operations_x000a_Gandhidham Office_x000a_Clearship Group_x000a_E: asstmgr.gdm@clearship.com | Mobile : 9167733885"/>
    <s v="OFR MUNDRA – GDYNIA 20 DV: 2995 USD per container _x000a_THC 215 EUR per container_x000a_DOC 55 EUR per container_x000a_ISPS 25 EUR per container "/>
    <s v="OFR 2900 USD"/>
    <s v="-"/>
    <s v="-"/>
    <x v="1"/>
    <x v="0"/>
  </r>
  <r>
    <s v="ZL048/01/24"/>
    <s v="Import"/>
    <x v="2"/>
    <s v="-"/>
    <s v="-"/>
    <s v="FOB"/>
    <x v="0"/>
    <n v="1"/>
    <s v="40HC"/>
    <s v="-"/>
    <n v="2"/>
    <s v="-"/>
    <x v="0"/>
    <s v="-"/>
    <s v="Ningbo"/>
    <s v="-"/>
    <s v="Gdańsk"/>
    <s v="-"/>
    <s v="-"/>
    <s v="-"/>
    <s v="-"/>
    <s v="-"/>
    <s v="-"/>
    <s v="-"/>
    <s v="-"/>
    <s v="-"/>
    <x v="2"/>
    <x v="1"/>
  </r>
  <r>
    <s v="ZL081/03/24"/>
    <s v="Import"/>
    <x v="3"/>
    <s v="RAIL [RS22/3] "/>
    <s v="-"/>
    <s v="EXW"/>
    <x v="0"/>
    <n v="1"/>
    <s v="40HC"/>
    <s v="-"/>
    <n v="2"/>
    <s v="-"/>
    <x v="0"/>
    <d v="2024-04-15T00:00:00"/>
    <s v="Tianjin"/>
    <s v="-"/>
    <s v="Gdansk"/>
    <s v="-"/>
    <s v="-"/>
    <s v="-"/>
    <s v="-"/>
    <s v="-"/>
    <s v="-"/>
    <s v="-"/>
    <s v="-"/>
    <s v="-"/>
    <x v="2"/>
    <x v="1"/>
  </r>
  <r>
    <s v="ZL110/10/23"/>
    <s v="Import"/>
    <x v="3"/>
    <s v="[RS5/10] SZSE23102522 "/>
    <s v="-"/>
    <s v="FOB"/>
    <x v="0"/>
    <n v="1"/>
    <s v="40HC"/>
    <s v="-"/>
    <n v="2"/>
    <s v="SEGU5324172"/>
    <x v="1"/>
    <s v="-"/>
    <s v="Shenzhen"/>
    <d v="2023-10-01T00:00:00"/>
    <s v="Gdańsk"/>
    <s v="Porath"/>
    <s v="-"/>
    <s v="-"/>
    <n v="870.84"/>
    <s v="-"/>
    <s v="-"/>
    <s v="-"/>
    <s v="-"/>
    <n v="870.84"/>
    <x v="3"/>
    <x v="2"/>
  </r>
  <r>
    <s v="ZL025/11/23"/>
    <s v="Import"/>
    <x v="4"/>
    <s v="-"/>
    <s v="-"/>
    <s v="-"/>
    <x v="0"/>
    <s v="-"/>
    <s v="-"/>
    <s v="-"/>
    <s v="-"/>
    <s v="MSKU8392428 "/>
    <x v="1"/>
    <s v="-"/>
    <s v="-"/>
    <d v="2023-10-01T00:00:00"/>
    <s v="-"/>
    <s v="-"/>
    <s v="-"/>
    <s v="-"/>
    <n v="822"/>
    <s v="-"/>
    <s v="-"/>
    <s v="-"/>
    <s v="-"/>
    <n v="822"/>
    <x v="3"/>
    <x v="2"/>
  </r>
  <r>
    <s v="ZL105/10/23"/>
    <s v="Import"/>
    <x v="3"/>
    <s v="[RS2/10] SZSE23101714"/>
    <s v="-"/>
    <s v="FOB"/>
    <x v="0"/>
    <n v="1"/>
    <s v="40HC"/>
    <s v="-"/>
    <n v="2"/>
    <s v="TCNU8718026"/>
    <x v="1"/>
    <s v="-"/>
    <s v="Yantian"/>
    <d v="2023-10-01T00:00:00"/>
    <s v="Gdańsk"/>
    <s v="Porath"/>
    <s v="-"/>
    <s v="-"/>
    <n v="6554.47"/>
    <s v="-"/>
    <n v="1000"/>
    <n v="900"/>
    <s v="BRAK"/>
    <n v="6554.47"/>
    <x v="3"/>
    <x v="2"/>
  </r>
  <r>
    <s v="zl026/11/23"/>
    <s v="Import"/>
    <x v="3"/>
    <s v="[RS3/11] SZSE23110213  "/>
    <s v="-"/>
    <s v="-"/>
    <x v="0"/>
    <n v="1"/>
    <s v="40HC"/>
    <s v="-"/>
    <n v="2"/>
    <s v="FCIU8317178"/>
    <x v="1"/>
    <s v="-"/>
    <s v="-"/>
    <d v="2023-10-01T00:00:00"/>
    <s v="-"/>
    <s v="Porath"/>
    <s v="-"/>
    <s v="-"/>
    <n v="1589.88"/>
    <s v="-"/>
    <s v="-"/>
    <s v="-"/>
    <s v="-"/>
    <n v="1589.88"/>
    <x v="3"/>
    <x v="2"/>
  </r>
  <r>
    <s v="ZL104/10/23"/>
    <s v="Import"/>
    <x v="3"/>
    <s v="[RS1/10]  SZSE23101601 "/>
    <s v="-"/>
    <s v="FOB"/>
    <x v="0"/>
    <n v="2"/>
    <s v="40HC"/>
    <s v="-"/>
    <n v="4"/>
    <s v="EGHU9496255_x000a_TGBU4459457"/>
    <x v="1"/>
    <s v="-"/>
    <s v="-"/>
    <d v="2023-10-01T00:00:00"/>
    <s v="-"/>
    <s v="Porath"/>
    <s v="-"/>
    <s v="-"/>
    <n v="4617.3"/>
    <s v="-"/>
    <s v="-"/>
    <s v="-"/>
    <s v="-"/>
    <s v="-"/>
    <x v="3"/>
    <x v="2"/>
  </r>
  <r>
    <s v="ZL124/10/23"/>
    <s v="Import"/>
    <x v="5"/>
    <s v="PFC16136/2023/MRY "/>
    <s v="PFC"/>
    <s v="EXW"/>
    <x v="1"/>
    <n v="86"/>
    <s v="ctn"/>
    <n v="518.4"/>
    <n v="5.0999999999999996"/>
    <s v="-"/>
    <x v="1"/>
    <d v="2023-10-30T00:00:00"/>
    <s v="-"/>
    <d v="2023-11-29T00:00:00"/>
    <s v="Gdańsk"/>
    <s v="Taksim-pol"/>
    <s v="-"/>
    <s v="-"/>
    <n v="408.43"/>
    <s v="-"/>
    <s v="EXW all in: 370  USD_x000a_OFR GUANGHZOU – GDAŃSK 28 USD WM *5,65 CBM = 158,20 USD_x000a_THC 20 USD WM *5,65 CBM = 113 USD_x000a_DOC 20 USD_x000a_ODPRAWA 220 PLN_x000a_TRANSPORT GDN &gt; WAW : 750 PLN_x000a__x000a_ _x000a__x000a_TOTAL : 661,20 USD + 970 PLN "/>
    <s v="-"/>
    <s v="-"/>
    <n v="408.43"/>
    <x v="4"/>
    <x v="2"/>
  </r>
  <r>
    <s v="ZL094/11/23"/>
    <s v="Import"/>
    <x v="6"/>
    <s v="PFC16557/2023/MRY"/>
    <s v="-"/>
    <s v="-"/>
    <x v="1"/>
    <n v="126"/>
    <s v="ctn"/>
    <n v="1379"/>
    <n v="8.2710000000000008"/>
    <s v="OERU4048038"/>
    <x v="1"/>
    <d v="2023-11-13T00:00:00"/>
    <s v="Shenzhen"/>
    <d v="2023-12-21T00:00:00"/>
    <s v="Gdańsk"/>
    <s v="AC Klienta - DTA "/>
    <s v="-"/>
    <s v="-"/>
    <n v="219.44"/>
    <s v="-"/>
    <s v="EXW Shenzhen: 390 USD (wliczony koszt odprawy exportowej 45 USD do 5 items) - Jeżeli jest więcej niż 5 kodów to potem kolejne 45 USD za kolejnych 5 kodów._x000a_OF SHZ – GDA: 20 USD W/M*8,271 cbm = 165,90 USD_x000a_THC: 15 USD W/M*7,9 cbm = 124,07 USD_x000a_BL: 20 USD/BL_x000a_Transport GDN&gt;POZNAŃ AUTO z WINDĄ: 985 PLN ( 233 USD )_x000a_Transport GDN&gt;POZNAŃ AUTO BEZ WINDY: 850 PLN ( 201 USD )_x000a__x000a_ _x000a__x000a_TOTAL AUTO Z WINDĄ: 932,97 USD_x000a__x000a_TOTAL AUTO BEZ WINDY : 900,97 USD "/>
    <s v="-"/>
    <s v="-"/>
    <n v="219.44"/>
    <x v="5"/>
    <x v="2"/>
  </r>
  <r>
    <s v="ZL123/10/23"/>
    <s v="Import"/>
    <x v="7"/>
    <s v="[RS3/10] SZSE23102315 "/>
    <s v="Maersk"/>
    <s v="FOB"/>
    <x v="0"/>
    <n v="1"/>
    <s v="20DV"/>
    <s v="-"/>
    <n v="1"/>
    <s v="SUDU7868581"/>
    <x v="1"/>
    <d v="2023-11-11T00:00:00"/>
    <s v="Xingang"/>
    <d v="2023-12-24T00:00:00"/>
    <s v="Gdańsk"/>
    <s v="AC Klienta - Taksim-pol"/>
    <s v="-"/>
    <s v="-"/>
    <n v="459.54"/>
    <s v="-"/>
    <s v=" OFR XINGANG – GDANSK 20 DV: 680 USD_x000a_THC 205 EUR_x000a_DOC 55 EUR_x000a_ISPS 25 EUR_x000a_TRANSPORT 2900 PLN "/>
    <s v="-"/>
    <s v="-"/>
    <n v="459.54"/>
    <x v="5"/>
    <x v="2"/>
  </r>
  <r>
    <s v="ZL059/12/23"/>
    <s v="Import"/>
    <x v="8"/>
    <s v="PFC16551/2023/MRY"/>
    <s v="-"/>
    <s v="FOB"/>
    <x v="1"/>
    <n v="5"/>
    <s v="package"/>
    <n v="4920"/>
    <n v="5.0999999999999996"/>
    <s v="-"/>
    <x v="1"/>
    <d v="2023-11-07T00:00:00"/>
    <s v="Ningbo"/>
    <d v="2023-12-29T00:00:00"/>
    <s v="Gdańsk"/>
    <s v="Taksim-pol"/>
    <s v="-"/>
    <s v="-"/>
    <n v="180.16"/>
    <s v="-"/>
    <s v="OFR NINGBO - GDANSK : 20USD* 5,1CBM= 102 USD _x000a_THC 20 USD WM* 5,1 CBM = 102 USD _x000a_DOC 20 USD _x000a_ODPRAWA 220 PLN _x000a_TRANSPORT GDN &gt; OSIELSKO : 1100 PLN _x000a__x000a_TOTAL : 224 USD + 1320 PLN "/>
    <s v="-"/>
    <s v="TAK"/>
    <n v="180.16"/>
    <x v="5"/>
    <x v="2"/>
  </r>
  <r>
    <s v="ZL027/11/23"/>
    <s v="Import"/>
    <x v="3"/>
    <s v="[RS2/11] SZSE23110204"/>
    <s v="COSCO"/>
    <s v="-"/>
    <x v="0"/>
    <n v="1"/>
    <s v="40HC"/>
    <s v="-"/>
    <n v="2"/>
    <s v="EGHU9357624"/>
    <x v="1"/>
    <s v="-"/>
    <s v="-"/>
    <d v="2024-01-08T00:00:00"/>
    <s v="Gdańsk"/>
    <s v="Porath"/>
    <s v="-"/>
    <s v="-"/>
    <n v="2597.4299999999998"/>
    <s v="-"/>
    <s v="-"/>
    <s v="-"/>
    <s v="-"/>
    <n v="2597.4299999999998"/>
    <x v="6"/>
    <x v="0"/>
  </r>
  <r>
    <s v="ZL140/10/23"/>
    <s v="Import"/>
    <x v="5"/>
    <s v="RO: 0155420 KEL/GDN/2311117 "/>
    <s v="ECU"/>
    <s v="-"/>
    <x v="1"/>
    <n v="148"/>
    <s v="ctn"/>
    <n v="2458"/>
    <n v="6.63"/>
    <s v="TRHU3207367"/>
    <x v="1"/>
    <d v="2023-11-12T00:00:00"/>
    <s v="Keelung"/>
    <d v="2024-01-09T00:00:00"/>
    <s v="Gdańsk"/>
    <s v="Taksim-pol"/>
    <s v="-"/>
    <s v="-"/>
    <n v="857.84"/>
    <s v="-"/>
    <s v="EXW: 550 USD_x000a_OFR KEELUNG – GDAŃSK : 53 USD WM * 6,52 CBM = 345,56 USD_x000a_THC 20 USD WM *6,52 CBM = 130,40 USD_x000a_DOC 20 USD_x000a_ODPRAWA 220 PLN_x000a_TRANSPORT GDN &gt; WARSZAWA: 1150 PLN_x000a_TOTAL: 1045,96 USD + 1370 PLN "/>
    <s v="-"/>
    <s v="-"/>
    <n v="857.84"/>
    <x v="6"/>
    <x v="0"/>
  </r>
  <r>
    <s v="ZL111/10/23"/>
    <s v="Import"/>
    <x v="5"/>
    <s v="RO: 154598 JEAGDN00021"/>
    <s v="ECU"/>
    <s v="-"/>
    <x v="1"/>
    <n v="5"/>
    <s v="package"/>
    <n v="1290"/>
    <n v="9.6300000000000008"/>
    <s v="OOCU8009730"/>
    <x v="1"/>
    <d v="2023-11-20T00:00:00"/>
    <s v="Jebel Ali"/>
    <d v="2024-01-09T00:00:00"/>
    <s v="Gdynia"/>
    <s v="Taksim-pol"/>
    <s v="-"/>
    <s v="-"/>
    <n v="587.94000000000005"/>
    <s v="-"/>
    <s v="FOB JEBEL ALI – GDAŃSK_x000a_OF USD 125 WM * 9,44 CBM = 1180 USD  _x000a_Doc USD 20_x000a_THC USD 20 USD WM  = 188,40 USD_x000a_ODPRAWA 220 PLN_x000a_TRANSPORT : 985 PLN_x000a_TOTAL : 1388,40 USD + 1205 PLN "/>
    <s v="-"/>
    <s v="-"/>
    <n v="587.94000000000005"/>
    <x v="6"/>
    <x v="0"/>
  </r>
  <r>
    <s v="ZL135/11/23"/>
    <s v="Import"/>
    <x v="6"/>
    <s v="PFC17313/2023/MRY"/>
    <s v="PFC"/>
    <s v="-"/>
    <x v="1"/>
    <n v="75"/>
    <s v="package"/>
    <n v="1000.15"/>
    <n v="5.9"/>
    <s v="TEMU0145247"/>
    <x v="1"/>
    <d v="2023-11-21T00:00:00"/>
    <s v="Shanghai"/>
    <d v="2024-01-10T00:00:00"/>
    <s v="Gdańsk"/>
    <s v="Agencja Klienta - DTA"/>
    <s v="-"/>
    <s v="-"/>
    <n v="-39.130000000000003"/>
    <s v="-"/>
    <s v="OFR SHANGHAI - GDAŃSK : 20 USD WM *5,9CBM = 118 USD _x000a_THC 15 USD WM*5,9 CBM = 88,50 USD _x000a_DOC 20 USD TRANSPORT GDN &gt; POZNAŃ _x000a_AUTO Z WINDĄ: 195 USD_x000a__x000a_TOTAL AUTO Z WINDĄ ; 421 USD"/>
    <s v="-"/>
    <s v="-"/>
    <n v="-39.130000000000003"/>
    <x v="6"/>
    <x v="0"/>
  </r>
  <r>
    <s v="ZL028/11/23"/>
    <s v="Import"/>
    <x v="9"/>
    <s v="PFC16762/2023/MRY"/>
    <s v="PFC"/>
    <s v="-"/>
    <x v="1"/>
    <n v="9"/>
    <s v="plt"/>
    <n v="4322"/>
    <n v="13.57"/>
    <s v="-"/>
    <x v="1"/>
    <d v="2023-11-29T00:00:00"/>
    <s v="Ningbo"/>
    <d v="2024-01-11T00:00:00"/>
    <s v="Gdańsk"/>
    <s v="Taksim-pol"/>
    <s v="-"/>
    <s v="-"/>
    <n v="71.58"/>
    <s v="-"/>
    <s v="OFR NINGBO – GDAŃSK : 20 USD WM *10,32 CBM =206,40 USD / NOWAKOWSKI 210_x000a_THC =110 USD per przesyłka / to na równi_x000a_DOC 40 USD / NOWAKOWSKI 50 USD_x000a_ODPRAWA 220 PLN / na równi_x000a_TRANSPORT GDN &gt; BYDGOSZCZ : 1100 PLN "/>
    <s v="-"/>
    <s v="-"/>
    <n v="71.58"/>
    <x v="6"/>
    <x v="0"/>
  </r>
  <r>
    <s v="ZL087/11/23"/>
    <s v="Import"/>
    <x v="10"/>
    <s v="PFC17244/2023/MRY"/>
    <s v="PFC"/>
    <s v="EXW"/>
    <x v="1"/>
    <n v="19"/>
    <s v="ctn"/>
    <n v="308.14999999999998"/>
    <n v="1.4470000000000001"/>
    <s v="EITU0432034"/>
    <x v="1"/>
    <d v="2023-11-30T00:00:00"/>
    <s v="-"/>
    <d v="2024-01-11T00:00:00"/>
    <s v="Gdańsk"/>
    <s v="Taksim-pol"/>
    <s v="-"/>
    <s v="-"/>
    <n v="594.35"/>
    <s v="-"/>
    <s v="EXW hangzhou city: 290 USD + 30 USD dokumenty celne + 33 USD naklejki = 353 USD_x000a_ OFR SHANGHAI/NINGBO – GDAŃSK : 30 USD WM *1,447 CBM = 43,41 USD  _x000a_THC 25 USD WM *1,447 CBM = 36,18 USD_x000a_DOC 20 USD_x000a_ODPRAWA 220 PLN_x000a_TRANSPORT GDN – BIAŁYSTOK 15-644 ( transport łączony dla obu przesyłek ) : 1200 PLN"/>
    <s v="-"/>
    <s v="-"/>
    <n v="594.35"/>
    <x v="6"/>
    <x v="0"/>
  </r>
  <r>
    <s v="ZL088/11/23"/>
    <s v="Import"/>
    <x v="10"/>
    <s v="PFC17243/2023/MRY"/>
    <s v="PFC"/>
    <s v="EXW"/>
    <x v="1"/>
    <n v="29"/>
    <s v="ctn"/>
    <n v="449"/>
    <n v="2.59"/>
    <s v="EITU9316842"/>
    <x v="1"/>
    <d v="2023-11-28T00:00:00"/>
    <s v="Ningbo"/>
    <d v="2024-01-11T00:00:00"/>
    <s v="Gdańsk"/>
    <s v="Taksim-pol"/>
    <s v="-"/>
    <s v="-"/>
    <n v="656.1"/>
    <s v="-"/>
    <s v="EXW Shanghai/Ningbo: 320 USD / z wliczonym kosztem 30 USD za brak przygotowanych dokumentów do odprawy._x000a_ OFR SHANGHAI/NINGBO – GDAŃSK : 30 USD WM *2,59 CBM = 77,70 USD_x000a_THC 25 USD WM *2,59CBM = 64,75 USD_x000a_DOC 20 USD_x000a_ODPRAWA 220 PLN"/>
    <s v="-"/>
    <s v="-"/>
    <n v="656.1"/>
    <x v="6"/>
    <x v="0"/>
  </r>
  <r>
    <s v="ZL036/11/23"/>
    <s v="Import"/>
    <x v="11"/>
    <s v="Ref:0156337 TAOGDN01049"/>
    <s v="ECU"/>
    <s v="-"/>
    <x v="1"/>
    <n v="8"/>
    <s v="plt"/>
    <n v="4758.3599999999997"/>
    <n v="5.94"/>
    <s v="SZLU9823450"/>
    <x v="1"/>
    <d v="2023-11-21T00:00:00"/>
    <s v="Qingdao"/>
    <d v="2024-01-12T00:00:00"/>
    <s v="Gdańsk"/>
    <s v="Agencja Klienta"/>
    <s v="-"/>
    <s v="-"/>
    <n v="137.51"/>
    <s v="-"/>
    <s v="OFR QINGDAO + THC : 28 USD WM * 5,94 CBM  / 24 USD _x000a_DOC 20 USD_x000a_ODPRAWA 220 PLN_x000a_TRANSPORT GDN &gt; PLOCK : 1250 PLN_x000a_TOTAL : 198,20 USD + 1470 PLN "/>
    <s v="-"/>
    <s v="-"/>
    <n v="137.51"/>
    <x v="6"/>
    <x v="0"/>
  </r>
  <r>
    <s v="ZL060/12/23"/>
    <s v="Import"/>
    <x v="8"/>
    <s v="23QDBEST178 37917/2023/IMP/MPO01"/>
    <s v="ATC Cargo"/>
    <s v="FOB"/>
    <x v="1"/>
    <s v="-"/>
    <s v="-"/>
    <n v="5974"/>
    <n v="7.62"/>
    <s v="TCLU5874774"/>
    <x v="1"/>
    <d v="2023-11-04T00:00:00"/>
    <s v="Qingdao"/>
    <d v="2024-01-16T00:00:00"/>
    <s v="Gdańsk"/>
    <s v="Taksim-pol"/>
    <s v="-"/>
    <s v="-"/>
    <n v="442.63"/>
    <s v="-"/>
    <s v="OFR QINGDAO - GDAŃSK :  26 USD WM * 7,62 CBM= 198,12 USD _x000a_THC 20 USD WM * 7,62 CBM = 152,40 USD _x000a_DOC 20 USD _x000a_ODPRAWA 220 PLN _x000a_TRANSPORT GDB &gt; OSIELSKO : 1200 PLN_x000a_Ubezpieczenie: formie ubezpieczenie CARGO: 0,2 % /w oparciu o I.C.C. (A); min. 25 USD_x000a_TOTAL: 370,52 USD + 1420 PLN"/>
    <s v="-"/>
    <s v="TAK"/>
    <n v="442.63"/>
    <x v="6"/>
    <x v="0"/>
  </r>
  <r>
    <s v="ZL145/10/23"/>
    <s v="Import"/>
    <x v="7"/>
    <s v="[RS1/11] SZSE23110101 BYCK230982  233013341"/>
    <s v="Maersk"/>
    <s v="FOB"/>
    <x v="0"/>
    <n v="1"/>
    <s v="40HC"/>
    <n v="5623"/>
    <n v="2"/>
    <s v="TLLU6850815"/>
    <x v="1"/>
    <d v="2023-11-20T00:00:00"/>
    <s v="Huangpu"/>
    <d v="2024-01-18T00:00:00"/>
    <s v="Gdańsk"/>
    <s v="AC Klienta - Taksim-pol"/>
    <s v="-"/>
    <s v="-"/>
    <n v="524.38"/>
    <s v="-"/>
    <s v="OFR HUANGPU – GDAŃSK 40HC : 1100 USD_x000a_THC 205 EUR_x000a_DOC 55 EUR_x000a_ISPS 25 EUR_x000a_TRANSPORT GDN &gt; BYTOM : 3400 PLN + BAF 0 % na dziś "/>
    <s v="-"/>
    <s v="-"/>
    <n v="524.38"/>
    <x v="6"/>
    <x v="0"/>
  </r>
  <r>
    <s v="ZL142/10/23"/>
    <s v="Import"/>
    <x v="7"/>
    <s v="[RS6/10] SZSE23103115 TJN0279479"/>
    <s v="CMA"/>
    <s v="FOB"/>
    <x v="0"/>
    <n v="1"/>
    <s v="20DV"/>
    <n v="13798"/>
    <n v="1"/>
    <s v="CMAU2508947"/>
    <x v="1"/>
    <d v="2023-11-14T00:00:00"/>
    <s v="Xingang"/>
    <d v="2024-01-20T00:00:00"/>
    <s v="Gdańsk"/>
    <s v="AC Klienta - Taksim-pol"/>
    <s v="-"/>
    <s v="-"/>
    <n v="701.89"/>
    <s v="-"/>
    <s v="OFR XINGANG – GDANSK 20 DV: 680 USD_x000a_THC 205 EUR_x000a_DOC 55 EUR_x000a_ISPS 25 EUR_x000a_TRANSPORT 2900 PLN "/>
    <s v="-"/>
    <s v="-"/>
    <n v="701.89"/>
    <x v="6"/>
    <x v="0"/>
  </r>
  <r>
    <s v="ZL141/10/23"/>
    <s v="Import"/>
    <x v="5"/>
    <s v="RO: 0155429"/>
    <s v="ECU"/>
    <s v="-"/>
    <x v="1"/>
    <n v="162"/>
    <s v="cases"/>
    <n v="1620"/>
    <n v="12.18"/>
    <s v="MNBU3710611"/>
    <x v="1"/>
    <d v="2023-11-23T00:00:00"/>
    <s v="Xingang"/>
    <d v="2024-01-24T00:00:00"/>
    <s v="Gdańsk"/>
    <s v="Taksim-pol"/>
    <s v="-"/>
    <s v="-"/>
    <n v="1058.4000000000001"/>
    <s v="-"/>
    <s v="EXW TIANJIN : 930 USD_x000a_OFR TIANJIN – GDANSK : 30 USD WM *12,18 CBM = 365,40 USD_x000a_THC 20 USD WM* 12,18 CBM = 243,60 USD_x000a_DOC 20 USD_x000a_ODPRAWA 220 PLN_x000a_TRANSPORT GDN &gt; WARSZAWA: 950 PLN_x000a__x000a_TOTAL: 1559 USD + 1170 PLN "/>
    <s v="-"/>
    <s v="-"/>
    <n v="1058.4000000000001"/>
    <x v="6"/>
    <x v="0"/>
  </r>
  <r>
    <s v="ZL089/11/23"/>
    <s v="Import"/>
    <x v="5"/>
    <s v="PFC17260/2023/MRY"/>
    <s v="PFC"/>
    <s v="FOB"/>
    <x v="1"/>
    <n v="13"/>
    <s v="package"/>
    <n v="212"/>
    <n v="1.843"/>
    <s v="TGHU3710153"/>
    <x v="1"/>
    <d v="2023-12-04T00:00:00"/>
    <s v="Shenzhen"/>
    <d v="2024-01-25T00:00:00"/>
    <s v="Gdańsk"/>
    <s v="Taksim-pol"/>
    <s v="-"/>
    <s v="-"/>
    <n v="697.92"/>
    <s v="-"/>
    <s v="EXW via Yangjiang CFS: 350 USD_x000a_OF Yangjiang – Gdansk : 100 USD per shipment_x000a_THC 20 USD WM*1,81 CBM = 36,20 USD_x000a_DOC 20 USD_x000a_ODPRAWA 220 PLN_x000a_TRANSPORT GDN &gt;WAW : 475 PLN _x000a_TOTAL :    506,20 USD  + 695 PLN "/>
    <s v="-"/>
    <s v="-"/>
    <n v="697.92"/>
    <x v="6"/>
    <x v="0"/>
  </r>
  <r>
    <s v="ZL084/01/24"/>
    <s v="Import"/>
    <x v="12"/>
    <s v="Lotnik PFC00967"/>
    <s v="PFC"/>
    <s v="EXW"/>
    <x v="1"/>
    <n v="20"/>
    <s v="ctn"/>
    <n v="299"/>
    <n v="1.1499999999999999"/>
    <s v="-"/>
    <x v="1"/>
    <d v="2024-01-20T00:00:00"/>
    <s v="-"/>
    <d v="2024-01-29T00:00:00"/>
    <s v="Warszawa"/>
    <s v="AC Porath"/>
    <s v="-"/>
    <s v="-"/>
    <n v="4220.42"/>
    <s v="-"/>
    <s v="Koszty CN (fracht, handling, odprawa, dowóz,profit dla agenta) * = 2195 USD,_x000a_fracht jest na linii LH (Lufthansa), tt przelotu 3-5 dni, routing PVG(Shanghai)-FRA-WAW_x000a_*Other charge such magnet inspection/commodity inspection/buy export paper: case by case_x000a_Lokalne w PL:_x000a_Odprawa ostateczna w naszej AC 105 EUR_x000a_Auto do Kwidzynia 550 PLN"/>
    <s v="Koszty CN (fracht, handling, odprawa, dowóz,profit dla agenta) * = 1560 USD, fracht jest na linii LH (Lufthansa), tt przelotu 3-5 dni, routing PVG(Shanghai)-FRA-WAW_x000a_*Other charge such magnet inspection/commodity inspection/buy export paper: case by case_x000a__x000a_Lokalne w PL:_x000a_Odprawa ostateczna w naszej AC 250 PLN_x000a_Handling 300 PLN _x000a_Auto do Kwidzynia 530 PLN"/>
    <s v="-"/>
    <n v="4220.42"/>
    <x v="6"/>
    <x v="0"/>
  </r>
  <r>
    <s v="ZL150/11/23"/>
    <s v="Import"/>
    <x v="13"/>
    <s v="ZT 071/2023 [RS/1/12] SZSE23120513 233599740"/>
    <s v="Maersk"/>
    <s v="EXW"/>
    <x v="0"/>
    <n v="1"/>
    <s v="40HC"/>
    <n v="4185"/>
    <n v="2"/>
    <s v="CAIU4618241"/>
    <x v="1"/>
    <d v="2023-12-12T00:00:00"/>
    <s v="Shanghai"/>
    <d v="2024-02-01T00:00:00"/>
    <s v="Gdańsk"/>
    <s v="-"/>
    <s v="-"/>
    <s v="-"/>
    <n v="48.08"/>
    <s v="-"/>
    <s v="EXW: USD1025/40HQ_x000a_O/F: USD900/40HQ via MSK_x000a_THC 205 EUR_x000a_DOC 55 EUR_x000a_ISPS 25 EUR_x000a_ODPRAWA 220 PLN_x000a_Przeładunek ( zawiera podjęcie i zwrot kontenera) 1975 PLN _x000a_Transport GDN : 55-040 KOBIERZYCE : 1800 PLN "/>
    <s v="-"/>
    <s v="-"/>
    <n v="48.08"/>
    <x v="7"/>
    <x v="0"/>
  </r>
  <r>
    <s v="ZL063/11/23"/>
    <s v="Import"/>
    <x v="11"/>
    <s v="[RS4/11] SZSE23110803 233024935"/>
    <s v="Maersk"/>
    <s v="FOB"/>
    <x v="0"/>
    <n v="1"/>
    <s v="20DV"/>
    <n v="19100"/>
    <n v="1"/>
    <s v="MRKU7014000"/>
    <x v="1"/>
    <d v="2023-12-10T00:00:00"/>
    <s v="Qingdao"/>
    <d v="2024-02-01T00:00:00"/>
    <s v="Gdańsk"/>
    <s v="-"/>
    <s v="-"/>
    <s v="-"/>
    <n v="721.48"/>
    <s v="-"/>
    <s v="OFR QINGDAO – GDAŃSK 20 DV: 650 USD_x000a_THC 205 EUR_x000a_DOC 55 EUR_x000a_ISPS 25 EUR_x000a_ODPRAWA 220 PLN_x000a__x000a_TRANSPORT 2200 PLN "/>
    <s v="-"/>
    <s v="-"/>
    <n v="721.48"/>
    <x v="7"/>
    <x v="0"/>
  </r>
  <r>
    <s v="ZL021/12/23"/>
    <s v="Import"/>
    <x v="7"/>
    <s v="[RS1/12] / SZSE23120403 233041710"/>
    <s v="Maersk"/>
    <s v="FOB"/>
    <x v="0"/>
    <n v="1"/>
    <s v="20DV"/>
    <n v="6045.04"/>
    <n v="1"/>
    <s v="TTNU1297268"/>
    <x v="1"/>
    <d v="2023-12-22T00:00:00"/>
    <s v="Ningbo"/>
    <d v="2024-02-01T00:00:00"/>
    <s v="Gdańsk"/>
    <s v="AC Klienta - Taksim-pol"/>
    <s v="-"/>
    <s v="-"/>
    <n v="576.12"/>
    <s v="-"/>
    <s v="OFR NINGBO – GDANSK 20 DV: 750 USD_x000a_THC 205 EUR_x000a_DOC 55 EUR_x000a_ISPS 25 EUR_x000a_TRANSPORT 20 DV KOLEJ : 2900 PLN + BAF na styczeń/luty"/>
    <s v="-"/>
    <s v="-"/>
    <n v="576.12"/>
    <x v="7"/>
    <x v="0"/>
  </r>
  <r>
    <s v="ZL137/11/23"/>
    <s v="Import"/>
    <x v="14"/>
    <s v="[RS6/11] SZSE23111402  233543163  "/>
    <s v="Maersk"/>
    <s v="FOB"/>
    <x v="0"/>
    <n v="1"/>
    <s v="20DV"/>
    <n v="12983.33"/>
    <n v="1"/>
    <s v="MSKU7799445"/>
    <x v="1"/>
    <d v="2023-12-22T00:00:00"/>
    <s v="Ningbo"/>
    <d v="2024-02-01T00:00:00"/>
    <s v="Gdańsk"/>
    <s v="Tranzyt do Chrzanowa"/>
    <s v="-"/>
    <s v="-"/>
    <n v="837.01"/>
    <s v="-"/>
    <s v="O/F: USD750/20GP_x000a_THC 200 EUR_x000a_DOC 55 EUR_x000a_ISPS 25 EUR_x000a_T1 180 PLN_x000a_TRANSPORT 32-500 CHRZANÓW : 3600 PLN + BAF 4% "/>
    <s v="-"/>
    <s v="-"/>
    <n v="837.01"/>
    <x v="7"/>
    <x v="0"/>
  </r>
  <r>
    <s v="ZL125/10/23"/>
    <s v="Import"/>
    <x v="15"/>
    <s v="RO: 95074419"/>
    <s v="ECU"/>
    <s v="-"/>
    <x v="1"/>
    <n v="4"/>
    <s v="plt"/>
    <n v="3669"/>
    <n v="9.0589999999999993"/>
    <s v="-"/>
    <x v="1"/>
    <d v="2023-11-15T00:00:00"/>
    <s v="Brisbane"/>
    <d v="2024-02-01T00:00:00"/>
    <s v="Gdańsk"/>
    <s v="Taksim-pol"/>
    <s v="-"/>
    <s v="-"/>
    <n v="1436.77"/>
    <s v="-"/>
    <s v="FOB BRISBANE via HONG KONG to GDAŃSK : 160 USD WM * 9,163CBM = 1466,08 USD_x000a_NON STACK : 536 USD_x000a_THC 20 USD WM *9,163 CBM = 183,26 USD_x000a_DOC 20 USD_x000a_ODPRAWA 220 PLN_x000a_TRANSPORT AUTO Z WINDĄ : 1600 PLN_x000a__x000a__x000a_TOTAL: 2205,34 USD + 1820 PLN "/>
    <s v="-"/>
    <s v="-"/>
    <n v="1436.77"/>
    <x v="7"/>
    <x v="0"/>
  </r>
  <r>
    <s v="ZL079/12/23"/>
    <s v="Import"/>
    <x v="16"/>
    <s v="RO: 0156702 CAN/GDN/00536_x000a_Ul. Spokojna 16,_x000a_33-100 Tarnów_x000a_Osoba kontaktowa: Bogusław Czeczot, tel: 604 950 079._x000a_Dostawa będzie na inny adres niż na fakturze, bo towar idzie do magazynu, ale to samo miasto. Pod spodem adres i dane osoby kontaktowej do odbioru. "/>
    <s v="ECU"/>
    <s v="-"/>
    <x v="1"/>
    <n v="11"/>
    <s v="ctn"/>
    <n v="3812"/>
    <n v="15.692"/>
    <s v="BMOU5514508"/>
    <x v="1"/>
    <d v="2023-12-11T00:00:00"/>
    <s v="Huangpu"/>
    <d v="2024-02-02T00:00:00"/>
    <s v="Gdańsk"/>
    <s v="Taksim-pol"/>
    <s v="-"/>
    <s v="-"/>
    <n v="2499.6999999999998"/>
    <s v="-"/>
    <s v="OF + THC Nansha/Guanhzhou: 48 USD WM * 15,69 CBM = 753,12 USD +  podwyżka 4 USD WM*15,69CBM = 62,76 USD_x000a_DOC: 20 USD/BL_x000a_Odprawa: 220 PLN_x000a_TRANSPORT GDN &gt; TARNÓW : 2200 PLN "/>
    <s v="-"/>
    <s v="-"/>
    <n v="2499.6999999999998"/>
    <x v="7"/>
    <x v="0"/>
  </r>
  <r>
    <s v="ZL031/11/23"/>
    <s v="Import"/>
    <x v="5"/>
    <s v="0156436 JEAGDN00022"/>
    <s v="ECU"/>
    <s v="FOB"/>
    <x v="1"/>
    <n v="8"/>
    <s v="plt"/>
    <n v="1281"/>
    <n v="12.1"/>
    <s v="TGBU9719562"/>
    <x v="1"/>
    <d v="2023-12-09T00:00:00"/>
    <s v="Jebel Ali"/>
    <d v="2024-02-05T00:00:00"/>
    <s v="Gdańsk"/>
    <s v="Taksim-pol"/>
    <s v="-"/>
    <s v="-"/>
    <n v="2985.89"/>
    <s v="-"/>
    <s v="FOB JEBEL ALI –HAMBURG- GDAŃSK_x000a_OF USD 130 WM * 12,11 CBM = 1574,30 USD_x000a_THC USD 20 USD WM *12,11  = 242,20 USD_x000a_DOC USD 20_x000a_ODPRAWA 220 PLN_x000a_TRANSPORT : 1300 PLN  _x000a_TOTAL : 1836,50 USD + 1520 PLN "/>
    <s v="-"/>
    <s v="-"/>
    <n v="2985.89"/>
    <x v="7"/>
    <x v="0"/>
  </r>
  <r>
    <s v="ZL061/11/23"/>
    <s v="Import"/>
    <x v="14"/>
    <s v="[RS5/11] SZSE23110914 233212835"/>
    <s v="Maersk"/>
    <s v="-"/>
    <x v="0"/>
    <n v="1"/>
    <s v="20DV"/>
    <s v="-"/>
    <n v="1"/>
    <s v="HASU1437748"/>
    <x v="1"/>
    <d v="2023-12-11T00:00:00"/>
    <s v="Ningbo"/>
    <d v="2024-02-09T00:00:00"/>
    <s v="Gdańsk"/>
    <s v="Tranzyt do Chrzanowa"/>
    <s v="-"/>
    <s v="-"/>
    <n v="359.01"/>
    <s v="-"/>
    <s v="O/F: USD750/20GP_x000a_THC 200 EUR_x000a_DOC 55 EUR_x000a_ISPS 25 EUR_x000a_T1 180 PLN_x000a_TRANSPORT 32-500 CHRZANÓW : 3600 PLN + BAF 4% _x000a_Insurance - 211,52 PLN"/>
    <s v="-"/>
    <s v="-"/>
    <n v="359.01"/>
    <x v="7"/>
    <x v="0"/>
  </r>
  <r>
    <s v="ZL086/02/24"/>
    <s v="Import"/>
    <x v="17"/>
    <s v="APPLIG AWB 176-95065342 "/>
    <s v="-"/>
    <s v="-"/>
    <x v="1"/>
    <n v="60"/>
    <s v="ctn"/>
    <n v="1731"/>
    <s v="-"/>
    <s v="-"/>
    <x v="1"/>
    <s v="-"/>
    <s v="-"/>
    <d v="2024-02-09T00:00:00"/>
    <s v="Warszawa"/>
    <s v="-"/>
    <s v="-"/>
    <s v="-"/>
    <n v="2672.91"/>
    <s v="-"/>
    <s v="Koszt odprawy importowej z 1. Poz. SAD w PL to_x000a__x000a_EUR 175_x000a__x000a_Rejestracja upoważnienia 125 EUR_x000a__x000a_KOSZTY TERMINALOWE / LOTNISKO : _x000a_0,70 PLN per kg/1731kg = 1211,70 PLN :  HANDLING lotniska dla Ładunki niebezpieczne w tym bez DGD - (w rozumieniu przepisów IATA)_x000a_350 PLN : HANDLING RS GROUP _x000a_1831 PLN per dzień: SKŁADOWE per dzień / to się dowiedziałem towar pod DGD_x000a_Przeładunek towar wrażliwe/ Ładunki niebezpieczne w tym bez DGD - (w rozumieniu przepisów IATA): 0,65 PLN per kg/1731 kg = 1125,15 PLN _x000a__x000a_TRANSPORT: 950 PLN "/>
    <s v="-"/>
    <s v="-"/>
    <n v="2672.91"/>
    <x v="7"/>
    <x v="0"/>
  </r>
  <r>
    <s v="ZL034/12/23"/>
    <s v="Import"/>
    <x v="7"/>
    <s v="[RS3/12] SZSE23121503  010301212056  "/>
    <s v="Evergreen"/>
    <s v="FOB"/>
    <x v="0"/>
    <n v="2"/>
    <s v="40HC"/>
    <n v="20000"/>
    <n v="4"/>
    <s v="EITU1263263 - 9629 kg _x000a_EITU1230207 - 10795 kg"/>
    <x v="1"/>
    <d v="2023-12-28T00:00:00"/>
    <s v="Ningbo"/>
    <d v="2024-02-12T00:00:00"/>
    <s v="Gdańsk"/>
    <s v="AC Klienta - Taksim-pol"/>
    <s v="Jinhaoda "/>
    <s v="-"/>
    <n v="9270.82"/>
    <s v="-"/>
    <s v="THC 205 EUR per container_x000a_OFR NINGBO - GDANSK - 2780 USD / 1780 USD_x000a_DOC 55 EUR per container_x000a_ISPS 25 EUR per container_x000a_TRANSPORT GDN &gt; BYTOM 40HC : 3400 PLN + BAF 3 % per container"/>
    <s v="1780 USD "/>
    <s v="-"/>
    <n v="9270.82"/>
    <x v="7"/>
    <x v="0"/>
  </r>
  <r>
    <s v="ZL041/12/23"/>
    <s v="Import"/>
    <x v="6"/>
    <s v="PFC18300/2023/MRY"/>
    <s v="PFC"/>
    <s v="EXW"/>
    <x v="1"/>
    <n v="98"/>
    <s v="ctn"/>
    <n v="1043.5"/>
    <n v="6.1239999999999997"/>
    <s v="FCIU5979015"/>
    <x v="1"/>
    <d v="2023-12-14T00:00:00"/>
    <s v="Shenzhen"/>
    <d v="2024-02-14T00:00:00"/>
    <s v="Gdańsk"/>
    <s v="AC Klienta - DTA "/>
    <s v="-"/>
    <s v="-"/>
    <n v="246.59"/>
    <s v="-"/>
    <s v="EXW via Shenzhen CFS: 360 USD  / 290 USD_x000a_+ OF SHZ: 25 USD * 5,87 CBM = 146,75 USD / 22 USD _x000a_THC 15 USD * 5,87 CBM = 88,05 USD / 15 USD_x000a_DOC 20 USD / _x000a_Transport GDN &gt; Poznań auto z windą : 234 USD ( 930 PLN)_x000a_TOTAL : 848,80 USD"/>
    <s v="-"/>
    <s v="-"/>
    <n v="246.59"/>
    <x v="7"/>
    <x v="0"/>
  </r>
  <r>
    <s v="ZL139/11/23"/>
    <s v="Import"/>
    <x v="18"/>
    <s v="PFC17905/2023/MRY"/>
    <s v="PFC"/>
    <s v="-"/>
    <x v="1"/>
    <n v="100"/>
    <s v="pkg"/>
    <n v="1111"/>
    <n v="2.12"/>
    <s v="FCIU5979015"/>
    <x v="1"/>
    <d v="2023-12-14T00:00:00"/>
    <s v="Shenzehn"/>
    <d v="2024-02-14T00:00:00"/>
    <s v="Gdańsk"/>
    <s v="AC Klienta"/>
    <s v="-"/>
    <s v="-"/>
    <n v="172.51"/>
    <s v="-"/>
    <s v="OF: 42 usd w/m * 1,88 cbm = 78,96 USD_x000a_THC: 20 usd w/m * 1,88 cbm = 37,60 USD_x000a_Doc: 20 usd/bl_x000a_Odprawa 220 PLN + 20 PLN za każdy kolejny kod celny_x000a_Transport GDN&gt;BYDGOSZCZ : 1350 PLN /// OBA TRANSPORTY"/>
    <s v="-"/>
    <s v="-"/>
    <n v="172.51"/>
    <x v="7"/>
    <x v="0"/>
  </r>
  <r>
    <s v="ZL140/11/23"/>
    <s v="Import"/>
    <x v="18"/>
    <s v="PFC17906/2023/MRY"/>
    <s v="PFC"/>
    <s v="-"/>
    <x v="1"/>
    <n v="6"/>
    <s v="plt"/>
    <n v="3868"/>
    <n v="5.75"/>
    <s v="FCIU5979015"/>
    <x v="1"/>
    <d v="2023-12-14T00:00:00"/>
    <s v="Guangzhou"/>
    <d v="2024-02-14T00:00:00"/>
    <s v="Gdańsk"/>
    <s v="AC Klienta"/>
    <s v="-"/>
    <s v="-"/>
    <n v="388.19"/>
    <s v="-"/>
    <s v="OF: 42 usd w/m * 5,5 cbm = 231 USD_x000a_THC: 20 usd w/m * 5,5 cbm = 104 USD_x000a_Doc: 20 usd/bl_x000a_Odprawa 220 PLN + 20 PLN za każdy kolejny kod celny_x000a_Transport GDN&gt;BYDGOSZCZ : 1350 PLN /// OBA TRANSPORTY"/>
    <s v="-"/>
    <s v="-"/>
    <n v="388.19"/>
    <x v="7"/>
    <x v="0"/>
  </r>
  <r>
    <s v="ZL136/11/23"/>
    <s v="Import"/>
    <x v="7"/>
    <s v="[RS7/11] SZSE23113007 233787844​ "/>
    <s v="Maersk"/>
    <s v="FOB"/>
    <x v="0"/>
    <n v="1"/>
    <s v="40HC"/>
    <s v="-"/>
    <n v="2"/>
    <s v="MRKU5299747"/>
    <x v="1"/>
    <d v="2023-12-16T00:00:00"/>
    <s v="Xingang"/>
    <d v="2024-02-16T00:00:00"/>
    <s v="Gdańsk"/>
    <s v="AC Klienta - Taksim-pol"/>
    <s v="-"/>
    <s v="-"/>
    <n v="778.73"/>
    <s v="-"/>
    <s v=" OFR 40 HC XINGANG – GDAŃSK : 1175 USD_x000a_THC 205 EUR_x000a_DOC 55 EUR_x000a_ISPS 25 EUR_x000a_TRANSPORT GDN &gt; BYTOM : 3400 PLN + BAF 4 % "/>
    <s v="-"/>
    <s v="-"/>
    <n v="778.73"/>
    <x v="7"/>
    <x v="0"/>
  </r>
  <r>
    <s v="ZL138/11/23"/>
    <s v="Import"/>
    <x v="5"/>
    <s v="PFC17643/2023/MRY"/>
    <s v="PFC"/>
    <s v="FOB"/>
    <x v="1"/>
    <n v="40"/>
    <s v="package"/>
    <n v="224"/>
    <n v="1.75"/>
    <s v="TXGU5620548"/>
    <x v="1"/>
    <d v="2023-12-26T00:00:00"/>
    <s v="Shanghai"/>
    <d v="2024-02-16T00:00:00"/>
    <s v="Gdańsk"/>
    <s v="Taksim-pol"/>
    <s v="-"/>
    <s v="-"/>
    <n v="1007.84"/>
    <s v="-"/>
    <s v="OFR SHANGHAI – GDAŃSK : 145 USD WM *1,75 CBM = 253,75 USD   _x000a_THC 20 USD WM * 1,75 CBM = 35 USD _x000a_DOC 25 USD _x000a_ODPRAWA 220 PLN _x000a_TRANSPORT 450 PLN TRANSPORT 450 PLN "/>
    <s v="-"/>
    <s v="-"/>
    <n v="1007.84"/>
    <x v="7"/>
    <x v="0"/>
  </r>
  <r>
    <s v="ZL106/12/23"/>
    <s v="Import"/>
    <x v="7"/>
    <s v="[RS6/12] SZSE23122010  NGP0712496"/>
    <s v="CMA"/>
    <s v="FOB"/>
    <x v="0"/>
    <n v="1"/>
    <s v="40HC"/>
    <n v="9250"/>
    <n v="2"/>
    <s v="TLLU7701170"/>
    <x v="1"/>
    <d v="2024-01-05T00:00:00"/>
    <s v="Ningbo"/>
    <d v="2024-02-19T00:00:00"/>
    <s v="Gdańsk"/>
    <s v="AC Klienta - Taksim-pol"/>
    <s v="-"/>
    <s v="-"/>
    <n v="2676.18"/>
    <s v="-"/>
    <s v="O/F: USD5160/40HQ via CMA / 4660 USD_x000a__x000a_THC 205 EUR per container _x000a_DOC 55 EUR per container_x000a_ISPS 25 EUR per container _x000a_TRANSPORT GDN &gt; BYTOM 40HC : 3400 PLN + BAF 3 % per container"/>
    <s v="-"/>
    <s v="-"/>
    <n v="2676.18"/>
    <x v="7"/>
    <x v="0"/>
  </r>
  <r>
    <s v="ZL023/01/24"/>
    <s v="Import"/>
    <x v="19"/>
    <s v="[RS11/1] SZSE24011007 "/>
    <s v="-"/>
    <s v="-"/>
    <x v="0"/>
    <n v="1"/>
    <s v="40HC"/>
    <n v="30480"/>
    <n v="2"/>
    <s v="HNKU6057730"/>
    <x v="1"/>
    <d v="2024-01-30T00:00:00"/>
    <s v="Shenzhen"/>
    <d v="2024-02-19T00:00:00"/>
    <s v="Warszawa"/>
    <s v="33a"/>
    <s v="-"/>
    <s v="-"/>
    <n v="3299.93"/>
    <s v="-"/>
    <s v=" EXW Shenzhen 8000 USD All in z ubezpieczeniem + dodatkowo płatna odprawa celna "/>
    <s v="-"/>
    <s v="SZ436000334624/007"/>
    <n v="3299.93"/>
    <x v="7"/>
    <x v="0"/>
  </r>
  <r>
    <s v="ZL036/12/23"/>
    <s v="Import"/>
    <x v="3"/>
    <s v="[RS4/12] SZSE23122204 COSU6372450820 "/>
    <s v="COSCO"/>
    <s v="EXW"/>
    <x v="0"/>
    <n v="1"/>
    <s v="40HC"/>
    <n v="11950"/>
    <n v="2"/>
    <s v="TCKU7812460"/>
    <x v="1"/>
    <d v="2024-01-04T00:00:00"/>
    <s v="Tianjin"/>
    <d v="2024-02-19T00:00:00"/>
    <s v="Gdańsk"/>
    <s v="Porath"/>
    <s v="-"/>
    <s v="-"/>
    <n v="6145.28"/>
    <s v="-"/>
    <s v="EXW WUQING  : 2760 USD/ per container _x000a_O/F: USD4975/40HQ via EMC_x000a_THC 275 EUR/ per container_x000a_DOC 55 EUR/ per container_x000a_ISPS 25 EUR/ per container_x000a_ODPRAWA 175 EUR / per zgłoszenie _x000a_TRANSPORT GDN &gt; RUMIA : 1400 PLN + BAF 3 % na dziś / per container"/>
    <s v="-"/>
    <s v="-"/>
    <n v="6145.28"/>
    <x v="7"/>
    <x v="0"/>
  </r>
  <r>
    <s v="ZL020/01/24"/>
    <s v="Import"/>
    <x v="12"/>
    <s v="SMLCD24011115 "/>
    <s v="IGS"/>
    <s v="EXW"/>
    <x v="1"/>
    <n v="27"/>
    <s v="ctn"/>
    <n v="543.20000000000005"/>
    <n v="3.121"/>
    <s v="-"/>
    <x v="1"/>
    <d v="2024-01-22T00:00:00"/>
    <s v="Shenzhen"/>
    <d v="2024-02-21T00:00:00"/>
    <s v="Warszawa"/>
    <s v="Porath"/>
    <s v="-"/>
    <s v="-"/>
    <n v="6271.93"/>
    <s v="-"/>
    <s v="EXW: 385USD _x000a_"/>
    <s v="-"/>
    <s v="-"/>
    <n v="6271.93"/>
    <x v="7"/>
    <x v="0"/>
  </r>
  <r>
    <s v="ZL113/12/23"/>
    <s v="Import"/>
    <x v="7"/>
    <s v="PFC19689/2023/MRY"/>
    <s v="PFC"/>
    <s v="FOB"/>
    <x v="1"/>
    <n v="7"/>
    <s v="plt"/>
    <n v="2307"/>
    <n v="14.141999999999999"/>
    <s v="CSNU1617281"/>
    <x v="1"/>
    <d v="2023-01-09T00:00:00"/>
    <s v="Jiangmen"/>
    <d v="2024-02-26T00:00:00"/>
    <s v="Gdańsk"/>
    <s v="AC Klienta - Taksim-pol"/>
    <s v="BOSJOB COMPANY LTD."/>
    <s v="-"/>
    <n v="1795.59"/>
    <s v="-"/>
    <s v="OFR JIANGMEN – GDAŃSK : 145 USD WM *14,39 CBM = 2086,55 USD _x000a_THC 20 USD WM*14,39 CBM = 287,80 USD_x000a_DOC 20 USD _x000a_TRANSPORT GDN&gt; BYTOM : 1650 PLN_x000a__x000a_TOTAL: 2394,35 USD + 1650 PLN_x000a_TOTAL: 1041,69 USD + 1650 PLN  "/>
    <s v="-"/>
    <s v="-"/>
    <n v="1795.59"/>
    <x v="7"/>
    <x v="0"/>
  </r>
  <r>
    <s v="ZL094/02/24"/>
    <s v="Import"/>
    <x v="6"/>
    <s v="PFC18287/2023/MRY"/>
    <s v="-"/>
    <s v="EXW"/>
    <x v="1"/>
    <n v="28"/>
    <s v="pkg"/>
    <n v="551.5"/>
    <n v="3.266"/>
    <s v="CSNU1617281"/>
    <x v="1"/>
    <d v="2024-01-09T00:00:00"/>
    <s v="Guangzhou"/>
    <d v="2024-02-26T00:00:00"/>
    <s v="Gdańsk"/>
    <s v="AC Klienta - DTA "/>
    <s v="-"/>
    <s v="-"/>
    <n v="650.47"/>
    <s v="-"/>
    <s v="EXW Guangzhou: 295 USD_x000a_OFR GUANGHZOU - GDAŃSK : 145 USD WM *3,28 CBM = 475,60 USD  _x000a_THC 15 USD WM *3,28 CBM = 49,2 USD _x000a_DOC 20 USD _x000a_TRANSPORT GDN &gt; POZNAŃ auto z windą 158 USD"/>
    <s v="-"/>
    <s v="-"/>
    <n v="650.47"/>
    <x v="7"/>
    <x v="0"/>
  </r>
  <r>
    <s v="ZL022/01/24"/>
    <s v="Import"/>
    <x v="19"/>
    <s v="[RS2/1] SZSE24010401 NGP0786362/NGP0786381"/>
    <s v="-"/>
    <s v="FOB"/>
    <x v="0"/>
    <n v="2"/>
    <s v="40HC"/>
    <s v="-"/>
    <n v="4"/>
    <s v="CMAU5877091_x000a_GESU6683130"/>
    <x v="1"/>
    <d v="2024-01-10T00:00:00"/>
    <s v="Ningbo"/>
    <d v="2024-02-26T00:00:00"/>
    <s v="Gdańsk"/>
    <s v="33a"/>
    <s v="-"/>
    <s v="-"/>
    <n v="7414.23"/>
    <s v="-"/>
    <s v="ALL IN 6800 USD /per container"/>
    <s v="OFR 5000 USD_x000a_THC 515 EUR_x000a_DROGOWKA 3100 PLN"/>
    <s v="SZ436000334624/004"/>
    <n v="7414.23"/>
    <x v="7"/>
    <x v="0"/>
  </r>
  <r>
    <s v="ZL107/01/24"/>
    <s v="Import"/>
    <x v="20"/>
    <s v="[RS7/1] SZSE24010906 234529066  IMP_SK_01_2024 SZSE24010906"/>
    <s v="-"/>
    <s v="FOB"/>
    <x v="0"/>
    <n v="2"/>
    <s v="20DV"/>
    <s v="-"/>
    <n v="2"/>
    <s v="MRSU0625885_x000a_MRSU0622952"/>
    <x v="1"/>
    <d v="2024-01-14T00:00:00"/>
    <s v="Shenzhen"/>
    <d v="2024-03-01T00:00:00"/>
    <s v="Gdańsk"/>
    <s v="AC Klienta "/>
    <s v="-"/>
    <s v="-"/>
    <n v="910.31"/>
    <s v="-"/>
    <s v="OFR SHENZHEN – GDAŃSK 20DV : 3050 USD per cntr_x000a_THC 205 EUR per cntr_x000a_DOC 55 EUR per cntr_x000a_ISPS 25 EUR per cntr_x000a_TRANSPORT GDN &gt; RZESZÓW : 3350 PLN per cntr"/>
    <s v="USD2975/20GP "/>
    <s v="-"/>
    <n v="910.31"/>
    <x v="0"/>
    <x v="0"/>
  </r>
  <r>
    <s v="ZL065/12/23"/>
    <s v="Import"/>
    <x v="7"/>
    <s v="[RS2/12] SZSE23121214 233881117 "/>
    <s v="Maersk"/>
    <s v="FOB"/>
    <x v="0"/>
    <n v="1"/>
    <s v="40HC"/>
    <n v="25673"/>
    <n v="2"/>
    <s v="HASU5000680"/>
    <x v="1"/>
    <d v="2023-01-09T00:00:00"/>
    <s v="Qingdao"/>
    <d v="2024-03-05T00:00:00"/>
    <s v="Gdańsk"/>
    <s v="AC Klienta - Taksim-pol"/>
    <s v="QINGDAO EVER-LEADING TOOLS CO., LTD."/>
    <s v="-"/>
    <n v="5901.44"/>
    <s v="-"/>
    <s v="OFR QINGDAO – GDAŃSK 40HC : 2780 USD / 1370_x000a_THC 205 EUR_x000a_DOC 55 EUR_x000a_ISPS 25 EUR_x000a_TRANPORT 3400 PLN + BAF 3 % "/>
    <s v="1370 USD"/>
    <s v="-"/>
    <n v="5901.44"/>
    <x v="0"/>
    <x v="0"/>
  </r>
  <r>
    <s v="ZL035/12/23"/>
    <s v="Import"/>
    <x v="5"/>
    <s v="RO: 0161214 TUT/GDY/04694"/>
    <s v="ECU"/>
    <s v="EXW"/>
    <x v="1"/>
    <n v="5"/>
    <s v="plt"/>
    <n v="723.3"/>
    <n v="5.61"/>
    <s v="IALU2244380"/>
    <x v="1"/>
    <d v="2023-12-14T00:00:00"/>
    <s v="TUTICORIN"/>
    <d v="2024-03-06T00:00:00"/>
    <s v="Gdańsk"/>
    <s v="Taksim-pol"/>
    <s v="TAS TEXTILES INDIA PRIVATE LIMITED"/>
    <s v="Baatis S.A."/>
    <n v="2275.27"/>
    <s v="-"/>
    <s v="EXW ANNUR-641653 : 790 USD_x000a_OFR TUTICORIN – GDAŃSK : 95 USD WM*3,8 CBM = 361 USD_x000a_+ 35 USD WM za EMS _x000a_THC 20 USD WM *3,8 CBM = 76 USD_x000a_DOC 20 USD_x000a_ODPRAWA 220 PLN_x000a_TRANSPORT : 650 PLN "/>
    <s v="-"/>
    <s v="-"/>
    <n v="2275.27"/>
    <x v="0"/>
    <x v="0"/>
  </r>
  <r>
    <s v="ZL018/01/24"/>
    <s v="Import"/>
    <x v="7"/>
    <s v="[RS3/1] SZSE24010404 235248037  "/>
    <s v="Maersk"/>
    <s v="FOB"/>
    <x v="0"/>
    <n v="1"/>
    <s v="40HC"/>
    <n v="25993"/>
    <n v="2"/>
    <s v="TCNU7392568"/>
    <x v="1"/>
    <d v="2024-01-16T00:00:00"/>
    <s v="Shanghai"/>
    <d v="2024-03-08T00:00:00"/>
    <s v="Gdańsk"/>
    <s v="AC Klienta - Taksim-pol"/>
    <s v="-"/>
    <s v="-"/>
    <n v="1476.94"/>
    <s v="-"/>
    <s v="O/F: USD5300/40HQ via COSCO_x000a_THC 205 EUR_x000a_DOC 55 EUR_x000a_ISPS 25 EUR_x000a__x000a_TRANSPORT GDN &gt; BYTOM 40HC : 3400 PLN + BAF 3 % per container"/>
    <n v="5000"/>
    <s v="-"/>
    <n v="1476.94"/>
    <x v="0"/>
    <x v="0"/>
  </r>
  <r>
    <s v="ZL046/01/24 (USD) + ZL113/03/24 (EUR) + ZL114/03/24 (PLN)"/>
    <s v="Import"/>
    <x v="21"/>
    <s v="[RS8/1] SZSE24010918 234491894"/>
    <s v="Maersk"/>
    <s v="FOB"/>
    <x v="0"/>
    <n v="1"/>
    <s v="40HC"/>
    <n v="13168"/>
    <n v="2"/>
    <s v="TCNU7799996"/>
    <x v="1"/>
    <d v="2024-01-16T00:00:00"/>
    <s v="Shanghai"/>
    <d v="2024-03-12T00:00:00"/>
    <s v="Gdańsk"/>
    <s v="Complex SAD"/>
    <s v="CHENGDU GUTE MACHINERY WORKS CO.,"/>
    <s v="-"/>
    <n v="1499.09"/>
    <s v="-"/>
    <s v="THC 255 EUR_x000a_USD4900/40HQ via MSK_x000a_DOC 55 EUR_x000a_ISPS 25 EUR_x000a_ODPRAWA 250 PLN_x000a_TRANSPORT GDN &gt; TORUŃ 40HC : 1900 PLN "/>
    <s v="4700 USD"/>
    <s v="-"/>
    <n v="1499.09"/>
    <x v="0"/>
    <x v="0"/>
  </r>
  <r>
    <s v="ZL003/01/24 (USD) + ZL117/03/24 (EUR) + ZL118/03/24 (PLN)"/>
    <s v="Import"/>
    <x v="22"/>
    <s v="[RS1/1] SZSE24010307 235094114 "/>
    <s v="Maersk"/>
    <s v="FOB"/>
    <x v="0"/>
    <n v="1"/>
    <s v="20DV"/>
    <n v="6400"/>
    <n v="1"/>
    <s v="MRKU8154644"/>
    <x v="1"/>
    <d v="2024-01-14T00:00:00"/>
    <s v="Xingang"/>
    <d v="2024-03-12T00:00:00"/>
    <s v="Gdańsk"/>
    <s v="Complex SAD"/>
    <s v="HEBEI DAPU MACHINERY CO., LTD"/>
    <s v="-"/>
    <n v="1185.83"/>
    <s v="-"/>
    <s v="O/F: USD3200/20GP via COSCO / 3000 USD_x000a_THC 255 EUR_x000a_DOC 55 EUR_x000a_ISPS 25 EUR_x000a_ODPRAWA 250 PLN _x000a_TRANSPRORT GDN &gt; TORUŃ 20DV do 10 ton: 1800 PLN "/>
    <s v="-"/>
    <s v="-"/>
    <n v="1185.83"/>
    <x v="0"/>
    <x v="0"/>
  </r>
  <r>
    <s v="ZL030/01/24 "/>
    <s v="Import"/>
    <x v="23"/>
    <s v="[RS4/1] SZSE24010801 / 235079545"/>
    <s v="Maersk"/>
    <s v="FOB"/>
    <x v="0"/>
    <n v="1"/>
    <s v="20DV"/>
    <n v="6248"/>
    <n v="1"/>
    <s v="MRSU0515126"/>
    <x v="1"/>
    <d v="2024-01-17T00:00:00"/>
    <s v="Ningbo"/>
    <d v="2024-03-12T00:00:00"/>
    <s v="Gdańsk"/>
    <s v="AC Klienta"/>
    <s v="-"/>
    <s v="-"/>
    <n v="494.8"/>
    <s v="-"/>
    <s v="3900 USD all in"/>
    <s v="-"/>
    <s v="-"/>
    <n v="494.8"/>
    <x v="0"/>
    <x v="0"/>
  </r>
  <r>
    <s v="ZL047/01/24 (USD) + ZL115/03/24 (EUR) + ZL116/03/24 (PLN)"/>
    <s v="Import"/>
    <x v="22"/>
    <s v="[RS12/1] SZSE24011104 234628610  LP00003/03/24"/>
    <s v="Maersk"/>
    <s v="FOB"/>
    <x v="0"/>
    <n v="2"/>
    <s v="40HC"/>
    <n v="36000"/>
    <n v="4"/>
    <s v="MSKU1476872 - 22832 kg_x000a_MSKU1054814 - 13168 kg"/>
    <x v="1"/>
    <d v="2024-01-23T00:00:00"/>
    <s v="Shanghai"/>
    <d v="2024-03-12T00:00:00"/>
    <s v="Gdańsk"/>
    <s v="Complex SAD"/>
    <s v="CHENGDU GUTE MACHINERY WORKS CO.,"/>
    <s v="-"/>
    <n v="2976.14"/>
    <s v="-"/>
    <s v="O/F: USD5150/40HQ "/>
    <s v="4950 USD"/>
    <s v="-"/>
    <n v="2976.14"/>
    <x v="0"/>
    <x v="0"/>
  </r>
  <r>
    <s v="ZL029/01/24"/>
    <s v="Import"/>
    <x v="6"/>
    <s v="PFC00236/2024/MRY FA2136"/>
    <s v="PFC"/>
    <s v="EXW"/>
    <x v="1"/>
    <n v="101"/>
    <s v="package"/>
    <n v="1972.33"/>
    <n v="9.3179999999999996"/>
    <s v="OOCU7069777"/>
    <x v="1"/>
    <d v="2024-01-22T00:00:00"/>
    <s v="Shenzhen"/>
    <d v="2024-03-13T00:00:00"/>
    <s v="Gdańsk"/>
    <s v="AC Klienta - DTA "/>
    <s v="-"/>
    <s v="-"/>
    <n v="440.51"/>
    <s v="-"/>
    <s v="&gt; EXW Shenzhen: 315 USD_x000a_&gt; OF: 98 USD W/M *9,299 cbm = 911.30 USD_x000a_&gt; THC: 15 USD W/M*9,299 cbm = 139,48 USD_x000a_&gt; DOC: 20 USD/BL_x000a_&gt; Transport GDN &gt; POZNAŃ auto z windą : 275 USD_x000a_&gt;_x000a_&gt; TOTAL auto z windą: 1660,78 USD"/>
    <s v="EXW Shenzhen: 315 USD_x000a_OF: 93 USD W/M_x000a_THC: 10 USD W/M_x000a_DOC: 20 USD/BL_x000a_DSK: 7 USD"/>
    <s v="-"/>
    <n v="440.51"/>
    <x v="0"/>
    <x v="0"/>
  </r>
  <r>
    <s v="ZL049/01/24"/>
    <s v="Import"/>
    <x v="24"/>
    <s v="[RS9/1]  273685482 "/>
    <s v="Maersk"/>
    <s v="FOB"/>
    <x v="0"/>
    <n v="1"/>
    <s v="40HC"/>
    <n v="6572"/>
    <n v="2"/>
    <s v="MRSU4275044"/>
    <x v="1"/>
    <d v="2024-02-02T00:00:00"/>
    <s v="Ningbo"/>
    <d v="2024-03-13T00:00:00"/>
    <s v="Gdańsk"/>
    <s v="33a ENIGMA"/>
    <s v="-"/>
    <s v="-"/>
    <n v="1938.44"/>
    <s v="-"/>
    <s v="O/F: USD5300/40HQ via MSK_x000a_THC 235 EUR /  per container _x000a_DOC 55 EUR/  per container_x000a_ISPS 25 EUR/  per container_x000a_ODPRAWA 250 PLN //  per B/L_x000a_ _x000a_Transport GDN &gt; 58-200 dzierzoniów : 3700 + baf dla armatora MSK"/>
    <s v="-"/>
    <s v="-"/>
    <n v="1938.44"/>
    <x v="0"/>
    <x v="0"/>
  </r>
  <r>
    <s v="ZL015/01/24"/>
    <s v="Import"/>
    <x v="8"/>
    <s v="[RS6/1] SZSE240108112 234528975"/>
    <s v="Maersk"/>
    <s v="FOB"/>
    <x v="0"/>
    <n v="1"/>
    <s v="20DV"/>
    <n v="20187"/>
    <n v="1"/>
    <s v="MRSU0412529"/>
    <x v="1"/>
    <d v="2024-01-16T00:00:00"/>
    <s v="Qingdao"/>
    <d v="2024-03-13T00:00:00"/>
    <s v="Gdańsk"/>
    <s v="Taksim-pol"/>
    <s v="-"/>
    <s v="-"/>
    <n v="776.63"/>
    <s v="-"/>
    <s v="O/F: USD3150/20GP via MSK // 3000 USD_x000a_THC 205 EUR_x000a_DOC 55 EUR_x000a_ISPS 25 EUR_x000a_ODPRAWA 220 PLN_x000a_TRANSPORT GDN &gt; OSIELSKO 20DV: 1900 PLN _x000a_składka: 260,74 PLN"/>
    <s v="3000 USD"/>
    <s v="SZ436000334624/005"/>
    <n v="776.63"/>
    <x v="0"/>
    <x v="0"/>
  </r>
  <r>
    <s v="ZL086/01/24 (USD) + ZL152/03/24 (EUR) + ZL153/03/24 (PLN) - DO KONTENERA TCKU6225812_x000a_ZL154/03/24 (USD) + ZL155/03/24 (EUR) + ZL156/03/24 (PLN) - DO KONTENERA TCNU6549713"/>
    <s v="Import"/>
    <x v="25"/>
    <s v="[RS16/1] SZSE24011708 NGP0721650 / NGP0721649 "/>
    <s v="CMA"/>
    <s v="FOB"/>
    <x v="0"/>
    <n v="2"/>
    <s v="40HC"/>
    <n v="18911.2"/>
    <n v="4"/>
    <s v="TCKU6225812_x000a_TCNU6549713"/>
    <x v="1"/>
    <d v="2024-01-31T00:00:00"/>
    <s v="Ningbo"/>
    <d v="2024-03-15T00:00:00"/>
    <s v="Gdańsk"/>
    <s v="art 33a anna@acspedycja.pl"/>
    <s v="SKYLARK NETWORK CO.,LTD."/>
    <s v="Agball Tomasz Woźniak Sp. K."/>
    <n v="2522.67"/>
    <s v="-"/>
    <s v="USD5100/40HQ via EMC_x000a_Ningbo ETD: 28th.Jan with SI cut off date 24th.Jan_x000a_THC 205 EUR per container_x000a_DOC 55 EUR per container_x000a_ISPS 25 EUR per container_x000a_ODPRAWA 250 PLN per BL_x000a_TRANSPORT drogowy GDN&gt; Świnna Poręba 127a, 34-106 Mucharz:  4300 PLN per container _x000a_TRANSPORT kolejowy GDN &gt; Świnna Poręba 127a, 34-106 Mucharz: 4000 per container_x000a_INSURANCE 350 PLN "/>
    <s v="4870 USD_x000a_"/>
    <s v="TAK SZ436000334624/008"/>
    <n v="2522.67"/>
    <x v="0"/>
    <x v="0"/>
  </r>
  <r>
    <s v="ZL108/01/24"/>
    <s v="Import"/>
    <x v="20"/>
    <s v="[RS19/1] SZSE24011801 NGP0879654"/>
    <s v="CMA"/>
    <s v="FOB"/>
    <x v="0"/>
    <n v="3"/>
    <s v="20DV"/>
    <s v="-"/>
    <n v="3"/>
    <s v="CMAU2854976_x000a_CMAU2834394_x000a_CMAU2860310"/>
    <x v="1"/>
    <d v="2024-01-31T00:00:00"/>
    <s v="Ningbo"/>
    <d v="2024-03-15T00:00:00"/>
    <s v="Gdańsk"/>
    <s v="AC z Rzeszowa"/>
    <s v="-"/>
    <s v="-"/>
    <n v="2479.39"/>
    <s v="-"/>
    <s v="O/F: USD3050/20GP via MSK_x000a_THC 205 EUR per cntr_x000a_DOC 55 EUR per cntr_x000a_ISPS 25 EUR per cntr_x000a_TRANSPORT GDN &gt; RZESZÓW : 3450 PLN per cntr ( kolej jest ważna do 31.03.2024) "/>
    <s v="O/F: USD2950/20GP via MSK_x000a_THC 205 EUR per cntr_x000a_DOC 55 EUR per cntr_x000a_ISPS 25 EUR per cntr_x000a_TRANSPORT GDN &gt; RZESZÓW : 3450 PLN per cntr ( kolej jest ważna do 31.03.2024) "/>
    <s v="-"/>
    <n v="2479.39"/>
    <x v="0"/>
    <x v="0"/>
  </r>
  <r>
    <s v="ZL045/01/24 (USD) + ZL168/03/24 (EUR) + ZL169/03/24 (PLN)"/>
    <s v="Import"/>
    <x v="26"/>
    <s v="[RS15/1] SZSE24011601 NGP0740743"/>
    <s v="CMA"/>
    <s v="FOB"/>
    <x v="0"/>
    <n v="1"/>
    <s v="40HC"/>
    <n v="11080"/>
    <n v="2"/>
    <s v="TCLU1718428"/>
    <x v="1"/>
    <d v="2024-01-31T00:00:00"/>
    <s v="Ningbo "/>
    <d v="2024-03-15T00:00:00"/>
    <s v="Gdańsk"/>
    <s v="33a ENIGMA"/>
    <s v="SHANTOU CHENGHAI AJB TOYS LIMITED"/>
    <s v="-"/>
    <n v="961.56"/>
    <s v="-"/>
    <s v="O/F: USD5100/40HQ via MSK_x000a_ETD: 16th.Jan with SI cut off date 12th.Jan_x000a_THC 205 EUR_x000a_DOC 55 EUR_x000a_ISPS 25 EUR_x000a_ODPRAWA : PRZEZ PANA AGENCJA _x000a_TRANSPORT GDAŃSK &gt; GDYNIA : 1100 PLN"/>
    <s v="O/F: USD4900/40HQ via MSK"/>
    <s v="-"/>
    <n v="961.56"/>
    <x v="0"/>
    <x v="0"/>
  </r>
  <r>
    <s v="ZL147/10/23"/>
    <s v="Import"/>
    <x v="3"/>
    <s v="[RS5/12] SZSE23122605 010301253062"/>
    <s v="Evergreen"/>
    <s v="EXW"/>
    <x v="0"/>
    <n v="1"/>
    <s v="40HC"/>
    <n v="12590"/>
    <n v="2"/>
    <s v="EITU1332214"/>
    <x v="1"/>
    <d v="2024-01-14T00:00:00"/>
    <s v="Tianjin"/>
    <d v="2024-03-15T00:00:00"/>
    <s v="Gdańsk"/>
    <s v="AC Porath"/>
    <s v="-"/>
    <s v="-"/>
    <n v="4012.78"/>
    <s v="-"/>
    <s v="EXW Cost: USD975/40HQ_x000a_O/F: USD4975/40HQ via EMC_x000a_THC 275 EUR/ per container_x000a_DOC 55 EUR/ per container_x000a_ISPS 25 EUR/ per container_x000a_ODPRAWA 175 EUR / per zgłoszenie _x000a_TRANSPORT GDN &gt; RUMIA : 1400 PLN + BAF 3 % na dziś / per container"/>
    <s v="EXW Cost: USD975/40HQ_x000a_O/F: USD5175/40HQ via EMC"/>
    <s v="-"/>
    <n v="4012.78"/>
    <x v="0"/>
    <x v="0"/>
  </r>
  <r>
    <s v="ZL091/01/24"/>
    <s v="Import"/>
    <x v="7"/>
    <s v="[RS17/1] SZSE24011709 235550915 "/>
    <s v="Maersk"/>
    <s v="FOB"/>
    <x v="0"/>
    <n v="1"/>
    <s v="40HC"/>
    <n v="12030"/>
    <n v="2"/>
    <s v="MRSU3736368"/>
    <x v="1"/>
    <d v="2024-01-24T00:00:00"/>
    <s v="Qingdao"/>
    <d v="2024-03-19T00:00:00"/>
    <s v="Gdańsk"/>
    <s v="AC Klienta - Taksim-pol"/>
    <s v="-"/>
    <s v="-"/>
    <n v="659.47"/>
    <s v="-"/>
    <s v="OFR QINGDAO – GDAŃSK  40HC : 5150 USD _x000a_THC 205 EUR_x000a_DOC 55 EUR_x000a_ISPS 25 EUR_x000a_TRANSPORT GDN &gt; BYTOM : 3400 PLN + BAF 0%"/>
    <s v="5000 USD"/>
    <s v="-"/>
    <n v="659.47"/>
    <x v="0"/>
    <x v="0"/>
  </r>
  <r>
    <s v="ZL043/12/23"/>
    <s v="Import"/>
    <x v="7"/>
    <s v="RO: 0161467 NAV/GDY/04702"/>
    <s v="ECU"/>
    <s v="FOB"/>
    <x v="1"/>
    <n v="4"/>
    <s v="plt"/>
    <n v="2072.23"/>
    <n v="3.8010000000000002"/>
    <s v="TGHU6401651"/>
    <x v="1"/>
    <d v="2023-12-20T00:00:00"/>
    <s v="Nhava Sheva"/>
    <d v="2024-03-21T00:00:00"/>
    <s v="Gdańsk"/>
    <s v="AC Klienta - Taksim-pol"/>
    <s v="Welspring"/>
    <s v="-"/>
    <n v="434.36"/>
    <s v="-"/>
    <s v="FOB MUMBAI/NHAVA SHEVA – GDANSK: 39 USD WM* 3,99CBM = 150 USD  / 25 USD_x000a_THC 20 USD WM*3,99 CBM = 79,80 USD / 15 USD_x000a_DOC 20 USD / 18 USD_x000a_TRANSPORT GDN &gt; BYTOM: 1100 PLN / 1000 PLN"/>
    <s v="-"/>
    <s v="-"/>
    <n v="434.36"/>
    <x v="0"/>
    <x v="0"/>
  </r>
  <r>
    <s v="ZL050/12/23"/>
    <s v="Import"/>
    <x v="18"/>
    <s v="[RS5/1] SZSE24010514 235009436 "/>
    <s v="Maersk"/>
    <s v="EXW"/>
    <x v="0"/>
    <n v="1"/>
    <s v="20DV"/>
    <n v="17220"/>
    <n v="1"/>
    <s v="MRSU0566925"/>
    <x v="1"/>
    <d v="2024-01-14T00:00:00"/>
    <s v="Nansha"/>
    <d v="2024-03-21T00:00:00"/>
    <s v="Gdańsk"/>
    <s v="AC Klienta"/>
    <s v="-"/>
    <s v="-"/>
    <n v="728.65"/>
    <s v="-"/>
    <s v="O/F: USD3250/20GP via MSK / 3100 USD_x000a_THC GDAŃSK 205 EUR_x000a_DOC 55 EUR_x000a_ISPS 25 EUR  _x000a_TRANSPORT GDN &gt; BYDGOSZCZ 20 DV : 1950 PLN "/>
    <s v="-"/>
    <s v="-"/>
    <n v="728.65"/>
    <x v="0"/>
    <x v="0"/>
  </r>
  <r>
    <s v="ZL079/01/24"/>
    <s v="Import"/>
    <x v="8"/>
    <s v="PFC00243/2024/MRY"/>
    <s v="PFC"/>
    <s v="FOB"/>
    <x v="1"/>
    <n v="14"/>
    <s v="package"/>
    <n v="12420"/>
    <n v="17.846"/>
    <s v="TEMU6271900"/>
    <x v="1"/>
    <d v="2024-01-27T00:00:00"/>
    <s v="Shanghai"/>
    <d v="2024-03-22T00:00:00"/>
    <s v="Gdańsk"/>
    <s v="Taksim-pol"/>
    <s v="YANCHENG TIANTE VALVE CO.,LTD."/>
    <s v="-"/>
    <n v="663.99"/>
    <s v="-"/>
    <s v="OFR SHANGHAI – GDAŃSK : 97 USD WM*16,199CBM = 1571,40 USD _x000a_THC GDAŃSK : 20 USD WM *16,199CBM= 324 USD _x000a_DOC 20 USD_x000a_ODPRAWA 220 PLN_x000a_TRANSPORT GDN &gt; OSIELSKO : 1400 PLN _x000a__x000a_TOTAL: 1915,40 USD + 1620 PLN "/>
    <s v="95 USD WM"/>
    <s v="???"/>
    <n v="663.99"/>
    <x v="0"/>
    <x v="0"/>
  </r>
  <r>
    <s v="ZL019/01/24"/>
    <s v="Import"/>
    <x v="14"/>
    <s v="[RS13/1] SZSE24011113  NPG086473 "/>
    <s v="CMA"/>
    <s v="FOB"/>
    <x v="0"/>
    <n v="1"/>
    <s v="20DV"/>
    <n v="12983.33"/>
    <n v="1"/>
    <s v="XINU1537016"/>
    <x v="1"/>
    <d v="2024-02-05T00:00:00"/>
    <s v="Ningbo"/>
    <d v="2024-03-25T00:00:00"/>
    <s v="Gdańsk"/>
    <s v="T1"/>
    <s v="-"/>
    <s v="-"/>
    <n v="1304.68"/>
    <s v="-"/>
    <s v="O/F: USD3300/20GP via CMA_x000a_THC 200 EUR_x000a_DOC 55 EUR_x000a_ISPS 25 EUR_x000a_T1 180 PLN_x000a_ _x000a_TRANSPORT 32-500 CHRZANÓW : 3600 PLN + BAF 4% "/>
    <s v="INSURANCE: 285"/>
    <s v="SZ436000334624/006"/>
    <n v="1304.68"/>
    <x v="0"/>
    <x v="0"/>
  </r>
  <r>
    <s v="ZL021/01/24"/>
    <s v="Import"/>
    <x v="11"/>
    <s v="RO: 0165324"/>
    <s v="-"/>
    <s v="FOB"/>
    <x v="1"/>
    <n v="5"/>
    <s v="plt"/>
    <n v="6985"/>
    <n v="3.04"/>
    <s v="MSKU1667610"/>
    <x v="1"/>
    <d v="2024-01-30T00:00:00"/>
    <s v="Xingang"/>
    <d v="2024-03-26T00:00:00"/>
    <s v="Gdańsk"/>
    <s v="-"/>
    <s v="-"/>
    <s v="-"/>
    <n v="594.37"/>
    <s v="-"/>
    <s v="OFR XINGANG -GDANSK: 95 USD WM *6,98 = 663,10 USD_x000a_THC 20 USD WM *6,98 = 139,600 USD _x000a_DOC 20 USD _x000a_ODPRAWA 220 PLN_x000a_TRANSPORT GDN &gt; PŁOCK : 1500 PLN _x000a_ _x000a_TOTAL: 822,70 USD + 1720 PLN "/>
    <s v="OFR 80 USD WM_x000a_THC 18 USD WM_x000a_DOC 20 USD "/>
    <s v="-"/>
    <n v="594.37"/>
    <x v="0"/>
    <x v="0"/>
  </r>
  <r>
    <s v="ZL078/01/24"/>
    <s v="Import"/>
    <x v="8"/>
    <s v="PFC00330/2024/MRY"/>
    <s v="PFC"/>
    <s v="FOB"/>
    <x v="1"/>
    <n v="4"/>
    <s v="plt"/>
    <n v="4868"/>
    <n v="4.59"/>
    <s v="SEGU6811766"/>
    <x v="1"/>
    <d v="2024-02-01T00:00:00"/>
    <s v="Qingdao"/>
    <d v="2024-03-27T00:00:00"/>
    <s v="Gdańsk"/>
    <s v="Taksim-pol"/>
    <s v="FEIXIAN DALU VALVE CO.,LTD"/>
    <s v="-"/>
    <n v="465"/>
    <s v="-"/>
    <s v="OFR QINGDAO – GDAŃSK : 97 USD WM * 4,86 = 471, 42 USD _x000a_THC 20 USD WM * 4,86 = 97,20 USD _x000a_DOC 20 USD _x000a_ODPRAWA 220 PLN_x000a_TRANSPORT GDN &gt; OSIELSKO : 1100 PLN _x000a__x000a_TOTAL: 588, 62 USD "/>
    <s v="OF: 86 USD W/M_x000a_THC: 10 USD W/M_x000a_DOC: 20 USD_x000a_DSK: 7 USD"/>
    <s v="NIE"/>
    <n v="465"/>
    <x v="0"/>
    <x v="0"/>
  </r>
  <r>
    <s v="ZL122/01/24"/>
    <s v="Import"/>
    <x v="7"/>
    <s v="[RS20/1] SZSE24012205 235663263 "/>
    <s v="Maersk"/>
    <s v="FOB"/>
    <x v="0"/>
    <n v="1"/>
    <s v="40HC"/>
    <n v="24244"/>
    <n v="2"/>
    <s v="TCLU9291667"/>
    <x v="1"/>
    <d v="2024-02-11T00:00:00"/>
    <s v="Ningbo"/>
    <d v="2024-03-27T00:00:00"/>
    <s v="Gdańsk"/>
    <s v="AC Klienta - Taksim-pol"/>
    <s v="-"/>
    <s v="-"/>
    <n v="1276"/>
    <s v="-"/>
    <s v="O/F: USD5050/40HQ via MSK_x000a_ETD: 6th.Feb with SI cut off date 2nd.Feb_x000a_THC 205 EUR_x000a_DOC 55 EUR_x000a_ISPS 25 EUR_x000a__x000a_TRANSPORT GDN &gt; BYTOM 40HC : 3400 PLN + BAF 3 % per container"/>
    <s v="O/F: USD4800/40HQ via MSK"/>
    <s v="-"/>
    <n v="1276"/>
    <x v="0"/>
    <x v="0"/>
  </r>
  <r>
    <s v="ZL124/01/24"/>
    <s v="Import"/>
    <x v="7"/>
    <s v="[RS23/1] SZSE24012310 235656257"/>
    <s v="Maersk"/>
    <s v="FOB"/>
    <x v="0"/>
    <n v="1"/>
    <s v="40HC"/>
    <n v="18725.5"/>
    <n v="2"/>
    <s v="MRSU4916831"/>
    <x v="1"/>
    <d v="2024-02-11T00:00:00"/>
    <s v="Ningbo"/>
    <d v="2024-03-27T00:00:00"/>
    <s v="Gdańsk"/>
    <s v="AC Klienta - Taksim-pol"/>
    <s v="-"/>
    <s v="-"/>
    <n v="1074"/>
    <s v="-"/>
    <s v="O/F: USD5000/40HQ via MSK_x000a_ETD: 6th.Feb with SI cut off date 2nd.Feb_x000a_THC 205 EUR_x000a_DOC 55 EUR_x000a_ISPS 25 EUR_x000a__x000a_TRANSPORT GDN &gt; BYTOM 40HC : 3400 PLN + BAF 3 % per container"/>
    <s v="O/F: USD4800/40HQ via MSK"/>
    <s v="-"/>
    <n v="1074"/>
    <x v="0"/>
    <x v="0"/>
  </r>
  <r>
    <s v="ZL083/01/24"/>
    <s v="Import"/>
    <x v="6"/>
    <s v="PFC00925/2024/MRY"/>
    <s v="-"/>
    <s v="FOB"/>
    <x v="1"/>
    <n v="35"/>
    <s v="ctn"/>
    <n v="712.3"/>
    <n v="3.496"/>
    <s v="CSNU1204565"/>
    <x v="1"/>
    <d v="2024-02-11T00:00:00"/>
    <s v="Shenzhen"/>
    <d v="2024-03-28T00:00:00"/>
    <s v="Gdańsk"/>
    <s v="AC Klienta - DTA "/>
    <s v="-"/>
    <s v="-"/>
    <n v="477.54"/>
    <s v="-"/>
    <s v="EXW SHZ: 280 USD_x000a_OFR SHENZHEN - GDAŃSK: 98 USD WM * 3,33CBM = 326,34 USD _x000a_THC GDAŃSK 15 USD WM* 3,33 CBM = 49,95 USD _x000a_DOC 20 USD _x000a_TRANSPORT GDN &gt; POZNAŃ: 172 USD _x000a_ _x000a_TOTAL: 848,29 USD "/>
    <s v="EXW SHZ: 260 USD_x000a_97 USD WM"/>
    <s v="-"/>
    <n v="477.54"/>
    <x v="0"/>
    <x v="0"/>
  </r>
  <r>
    <s v="ZL095/02/24"/>
    <s v="Import"/>
    <x v="6"/>
    <s v="PFC00373/2024/MRY N20231201DX8336"/>
    <s v="-"/>
    <s v="EXW"/>
    <x v="1"/>
    <n v="15"/>
    <s v="ctn"/>
    <n v="256.89999999999998"/>
    <n v="1.548"/>
    <s v="CSNU1204565"/>
    <x v="1"/>
    <d v="2024-02-11T00:00:00"/>
    <s v="Guangzhou"/>
    <d v="2024-03-28T00:00:00"/>
    <s v="Gdańsk"/>
    <s v="AC Klienta - DTA "/>
    <s v="-"/>
    <s v="-"/>
    <n v="217"/>
    <s v="-"/>
    <s v="EXW GZH: 280 USD_x000a_OF GZH: 115 USD W/M * 1,70 USD = 195,50 USD_x000a_THC: 25 USD per shpt_x000a_DOC: 20 USD/BL_x000a_TRANSPORT auto z windą POZNAŃ: 120 USD  _x000a_ _x000a_TOTAL: 640,50USD dla neutral stackable cargo"/>
    <s v="EXW GZH: 260 USD_x000a_OF GZH: 112 USD W/M_x000a_THC: 15 USD/LS_x000a_DOC: 0_x000a_DSK: 7 USD/DOC"/>
    <s v="-"/>
    <n v="217"/>
    <x v="0"/>
    <x v="0"/>
  </r>
  <r>
    <s v="ZL186/03/24"/>
    <s v="Import"/>
    <x v="27"/>
    <s v="AIR PROFICARGO 7756 3356 1402"/>
    <s v="-"/>
    <s v="-"/>
    <x v="1"/>
    <n v="1"/>
    <s v="package"/>
    <n v="48"/>
    <s v="-"/>
    <s v="-"/>
    <x v="1"/>
    <s v="-"/>
    <s v="Warszawa"/>
    <d v="2024-03-29T00:00:00"/>
    <s v="-"/>
    <s v="AC Klienta"/>
    <s v="-"/>
    <s v="-"/>
    <s v="-"/>
    <s v="-"/>
    <n v="2350"/>
    <s v="1850 PLN"/>
    <s v="-"/>
    <n v="500"/>
    <x v="0"/>
    <x v="0"/>
  </r>
  <r>
    <s v="ZL123/01/24 (USD) + ZL235/03/24 (EUR) + ZL236/03/24 (PLN)"/>
    <s v="Import"/>
    <x v="25"/>
    <s v="[RS24/1] SZSE24012314 010400105282"/>
    <s v="EMC"/>
    <s v="FOB"/>
    <x v="0"/>
    <n v="1"/>
    <s v="40HC"/>
    <n v="16272.7"/>
    <n v="2"/>
    <s v="DRYU9249110"/>
    <x v="1"/>
    <d v="2024-02-12T00:00:00"/>
    <s v="Ningbo"/>
    <d v="2024-03-29T00:00:00"/>
    <s v="Gdańsk"/>
    <s v="art 33a anna@acspedycja.pl"/>
    <s v="SKYLARK NETWORK CO.,LTD."/>
    <s v="Agball Tomasz Woźniak Sp. K."/>
    <n v="1464"/>
    <s v="-"/>
    <s v="O/F: USD5100/40HQ via EMC_x000a_ETD: 8th.Feb with SI cut off date 4th.Feb_x000a_ETA: 12th.Mar_x000a_T/T: 34 Days _x000a_THC 205 EUR per container_x000a_DOC 55 EUR per container_x000a_ISPS 25 EUR per container_x000a_TRANSPORT drogowy GDN&gt; Świnna Poręba 127a, 34-106 Mucharz:  4300 PLN per container _x000a_TRANSPORT kolejowy GDN &gt; Świnna Poręba 127a, 34-106 Mucharz: 4000 per container_x000a_INSURANCE 325 PLN"/>
    <s v="O/F: USD4850/40HQ via EMC_x000a_273,65 PLN"/>
    <s v="SZ436000334624/010"/>
    <n v="1464"/>
    <x v="0"/>
    <x v="0"/>
  </r>
  <r>
    <s v="ZL141/01/24"/>
    <s v="Import"/>
    <x v="28"/>
    <s v="PFC01379 LCL 7 palet - FOB NINGNO PM240122 "/>
    <s v="-"/>
    <s v="FOB"/>
    <x v="1"/>
    <n v="7"/>
    <s v="plt"/>
    <n v="5942.83"/>
    <n v="5.62"/>
    <s v="EGSU9332342"/>
    <x v="1"/>
    <d v="2024-02-02T00:00:00"/>
    <s v="Ningbo"/>
    <d v="2024-04-02T00:00:00"/>
    <s v="Gdańsk"/>
    <s v="AC Klienta"/>
    <s v="-"/>
    <s v="-"/>
    <n v="731.19"/>
    <s v="-"/>
    <s v="OFR NINGBO – GDAŃSK : 97 USD WM * 5,9CBM = 572,30 USD _x000a_THC 20 USD WM * 5,9 CBM = 118 USD _x000a_DOC 25 USD _x000a_TRANSPORT GDN &gt; KRAKÓW : 1900 PLN _x000a__x000a_TOTAL :  715,30 USD + 1900 PLN "/>
    <s v="90 USD WM "/>
    <s v="-"/>
    <n v="731.19"/>
    <x v="8"/>
    <x v="0"/>
  </r>
  <r>
    <s v="ZL093/11/23"/>
    <s v="Import"/>
    <x v="15"/>
    <s v="RO: 0160978 MEL/GDN/0065763 BNE/GDN/00086"/>
    <s v="ECU"/>
    <s v="-"/>
    <x v="1"/>
    <n v="6"/>
    <s v="plt"/>
    <n v="6002"/>
    <n v="13.587"/>
    <s v="UETU5568593 -&gt; CXRU1496689_x000a_"/>
    <x v="1"/>
    <d v="2024-01-09T00:00:00"/>
    <s v="Brisbane"/>
    <d v="2024-04-04T00:00:00"/>
    <s v="Gdańsk"/>
    <s v="Taksim-pol"/>
    <s v="Dobinsons Spring &amp; Suspension - Australia_x000a_58 Hollingsworth Street_x000a_North Rockhampton QLD 4701"/>
    <s v="-"/>
    <n v="6119"/>
    <s v="-"/>
    <s v="FOB BRISBANE via HONG KONG to GDAŃSK : 207 USD WM * 13,62CBM = 2819,34 USD  _x000a_NON STACK : 500 USD  _x000a_THC 20 USD WM *13,62 CBM = 272,40USD_x000a_DOC 20 USD _x000a_ODPRAWA 220 PLN_x000a_TRANSPORT AUTO Z WINDĄ : 2300 PLN – AUTO Z WINDĄ "/>
    <s v="OF USD 125 w/m_x000a_ETS USD 3 w/m_x000a_CAC Usd 20 w/m_x000a_THC USD 12 w/m_x000a_DOC USD 20/bl"/>
    <s v="-"/>
    <n v="6119"/>
    <x v="8"/>
    <x v="0"/>
  </r>
  <r>
    <s v="ZL044/01/24"/>
    <s v="Import"/>
    <x v="23"/>
    <s v="[RS10/1] SZSE24011003 TJN0319256 "/>
    <s v="CMA"/>
    <s v="FOB"/>
    <x v="0"/>
    <n v="1"/>
    <s v="20DV"/>
    <n v="6459"/>
    <n v="1"/>
    <s v="CMAU2814130"/>
    <x v="1"/>
    <d v="2024-01-31T00:00:00"/>
    <s v="Xingang"/>
    <d v="2024-04-07T00:00:00"/>
    <s v="Gdańsk"/>
    <s v="AC Klienta"/>
    <s v="-"/>
    <s v="-"/>
    <n v="693"/>
    <s v="-"/>
    <s v="O/F: USD4100/20GP via MSK -"/>
    <s v="3100 USD"/>
    <s v="-"/>
    <n v="693"/>
    <x v="8"/>
    <x v="0"/>
  </r>
  <r>
    <s v="ZL114/12/23"/>
    <s v="Import"/>
    <x v="18"/>
    <s v="PFC19781/2023/MRY"/>
    <s v="-"/>
    <s v="FOB"/>
    <x v="1"/>
    <n v="7"/>
    <s v="plt"/>
    <n v="5289"/>
    <n v="7.6790000000000003"/>
    <s v="TCLU6812334"/>
    <x v="1"/>
    <d v="2024-02-17T00:00:00"/>
    <s v="Guangzhou"/>
    <d v="2024-04-08T00:00:00"/>
    <s v="Gdańsk"/>
    <s v="AC Klienta - HLS"/>
    <s v="-"/>
    <s v="-"/>
    <n v="1430"/>
    <s v="-"/>
    <s v="OFR GUANGHZOU - GDAŃSK: 145 USD WM * 6 CBM = 870 USD  _x000a_THC 20 USD WM * 6 CBM = 120 USD _x000a_DOC 20 USD_x000a_ODPRAWA 220 PLN + 20 PLN za każdy kolejny HS CODE_x000a_TRANSPORT GDN &gt; BYDGOSZCZ : 1200 PLN_x000a_ _x000a_TOTAL : 1010 USD + 1420 PLN "/>
    <s v="-"/>
    <s v="-"/>
    <n v="1430"/>
    <x v="8"/>
    <x v="0"/>
  </r>
  <r>
    <s v="ZL097/01/24"/>
    <s v="Import"/>
    <x v="29"/>
    <s v="PFC01036/2024/MRY"/>
    <s v="-"/>
    <s v="EXW"/>
    <x v="1"/>
    <n v="1"/>
    <s v="cases"/>
    <n v="860"/>
    <n v="3.4049999999999998"/>
    <s v="TCLU6812334"/>
    <x v="1"/>
    <d v="2024-02-17T00:00:00"/>
    <s v="Shenzhen"/>
    <d v="2024-04-08T00:00:00"/>
    <s v="Gdańsk"/>
    <s v="Taksim-pol"/>
    <s v="-"/>
    <s v="-"/>
    <n v="1149"/>
    <s v="-"/>
    <s v="EXW Shenzhen: 395 USD all in_x000a_OF: 110 USD W/M*4,68 cbm = 514,80 USD_x000a_&gt; THC: 20 USD W/M*4,68 cbm = 93,60 USD_x000a_&gt; DOC: 20 USD/BL_x000a_&gt; ODPRAWA 220 PLN_x000a_&gt; TRANSPORT GDN  &gt; RUSOCIN : 600 PLN"/>
    <s v="EXW Shenzhen: 320 USD all in_x000a_OF: 97 USD W/M_x000a_THC: 10 USD W/M_x000a_DOC: 20 USD/BL_x000a_DSK: 7 USD"/>
    <s v="-"/>
    <n v="1149"/>
    <x v="8"/>
    <x v="0"/>
  </r>
  <r>
    <s v="ZL190/02/24 (EUR) + ZL228/03/24 (PLN) + ZL229/03/24 (USD)"/>
    <s v="Eksport"/>
    <x v="0"/>
    <s v="Booking number: 237323747"/>
    <s v="-"/>
    <s v="FOB"/>
    <x v="0"/>
    <n v="1"/>
    <s v="40HC"/>
    <n v="24340"/>
    <n v="2"/>
    <s v="MSKU0223442"/>
    <x v="1"/>
    <d v="2024-03-25T00:00:00"/>
    <s v="Gdansk"/>
    <d v="2024-05-10T00:00:00"/>
    <s v="Shanghai"/>
    <s v="AC Klienta"/>
    <s v="-"/>
    <s v="-"/>
    <s v="-"/>
    <s v="-"/>
    <s v="Podjęcie Wasilków – Gdańsk : 2800 PLN  (ze stopem na odprawę)_x000a_Jeżeli chodzi o wagę w drogówce to za każda 1 tonę extra należy dopłacić 200 PLN_x000a__x000a_DOC 55 EUR_x000a_VGM 35 EUR _x000a_THC 150 EUR_x000a_GDK – SHANGHAI 40 HC: 950 USD "/>
    <s v="-"/>
    <s v="-"/>
    <n v="1200"/>
    <x v="0"/>
    <x v="0"/>
  </r>
  <r>
    <s v="ZL113/01/24 (USD) + ZL180/03/24 (EUR) + ZL181/03/24 (PLN)"/>
    <s v="Import"/>
    <x v="26"/>
    <s v="[RS22/1] SZSE24012305 010400075634 "/>
    <s v="EMC"/>
    <s v="FOB"/>
    <x v="0"/>
    <n v="1"/>
    <s v="40HC"/>
    <n v="9770"/>
    <n v="2"/>
    <s v="EGSU9465828"/>
    <x v="1"/>
    <d v="2024-02-17T00:00:00"/>
    <s v="Yantian"/>
    <d v="2024-03-29T00:00:00"/>
    <s v="Gdańsk"/>
    <s v="33a ENIGMA"/>
    <s v="SHANTOU CHENGHAI AJB TOYS LIMITED"/>
    <s v="-"/>
    <n v="1240"/>
    <s v="-"/>
    <s v="O/F: USD5100/40HQ via MSK_x000a_THC 205 EUR_x000a_DOC 55 EUR_x000a_ISPS 25 EUR_x000a_ODPRAWA : PRZEZ PANA AGENCJA_x000a_TRANSPORT GDAŃSK &gt; GDYNIA : 1100 PLN"/>
    <s v="O/F: USD4830/40HQ via MSK"/>
    <s v="-"/>
    <n v="1240"/>
    <x v="0"/>
    <x v="0"/>
  </r>
  <r>
    <s v="ZL077/01/24 (USD) + ZL230/03/24 (EUR) + ZL231/03/24 (PLN)"/>
    <s v="Import"/>
    <x v="26"/>
    <s v="[RS18/1] SZSE24011715 010400059078"/>
    <s v="EMC"/>
    <s v="FOB"/>
    <x v="0"/>
    <n v="1"/>
    <s v="40HC"/>
    <n v="8090"/>
    <n v="2"/>
    <s v="TGBU8676358"/>
    <x v="2"/>
    <d v="2024-02-17T00:00:00"/>
    <s v="Yantian"/>
    <d v="2024-03-29T00:00:00"/>
    <s v="Gdańsk"/>
    <s v="33a ENIGMA"/>
    <s v="SHANTOU CHENGHAI AJB TOYS LIMITED"/>
    <s v="-"/>
    <n v="961"/>
    <s v="-"/>
    <s v="5100 USD"/>
    <s v="4850 USD"/>
    <s v="-"/>
    <n v="961"/>
    <x v="0"/>
    <x v="0"/>
  </r>
  <r>
    <s v="ZL179/03/24"/>
    <s v="Import"/>
    <x v="5"/>
    <s v="PFC04832 AIR Messi Cup"/>
    <s v="-"/>
    <s v="EXW"/>
    <x v="1"/>
    <n v="28"/>
    <s v="ctn"/>
    <n v="518"/>
    <n v="3.11"/>
    <s v="-"/>
    <x v="2"/>
    <d v="2024-03-29T00:00:00"/>
    <s v="Dalian"/>
    <d v="2024-04-09T00:00:00"/>
    <s v="Warszawa"/>
    <s v="Taksim-pol"/>
    <s v="-"/>
    <s v="-"/>
    <s v="-"/>
    <s v="-"/>
    <s v="airfreight +500kg usd4.10/kgs ( The earliest space will be on 23 Mar ) -&gt; 2585 USD_x000a_inland transit from Guangzhou to Dalian airport  : usd155/Shpt _x000a_Lokalne w WAW:_x000a_Dostawa: 450 PLN_x000a_odprawa w naszej AC ostateczna 200 PLN"/>
    <s v="-"/>
    <s v="-"/>
    <n v="927.08"/>
    <x v="8"/>
    <x v="0"/>
  </r>
  <r>
    <s v="ZL137/01/24"/>
    <s v="Import"/>
    <x v="28"/>
    <s v="[RS21/1] SZSE24012304 235541061"/>
    <s v="Maersk"/>
    <s v="FOB"/>
    <x v="0"/>
    <n v="3"/>
    <s v="20DV"/>
    <n v="44100"/>
    <n v="3"/>
    <s v="HASU1406182 - 16 450 kg_x000a_MRKU7596220 - 16 380 kg_x000a_TEMU3597282 - 11 270 kg"/>
    <x v="2"/>
    <d v="2024-02-04T00:00:00"/>
    <s v="Qingdao"/>
    <d v="2024-04-09T00:00:00"/>
    <s v="Gdańsk"/>
    <s v="AC Klienta Rusak"/>
    <s v="-"/>
    <s v="-"/>
    <s v="-"/>
    <s v="-"/>
    <s v="O/F: USD2900/20GP via MSK // 2800 usd  OWS has included_x000a_THC 210 EUR per container / 200 eur _x000a_DOC 55 EUR per container / 55 total _x000a_ISPS 25 EUR per container_x000a_TRANSPORT GDN &gt; KRAKÓW 20 DV DROGOWY: per container_x000a_Do 10t – 3400pln_x000a_Do 21t – 3700pln _x000a__x000a_TRANSPORT GDN &gt; KRAKÓW 20 DV KOLEJ : 3600 PLN per container"/>
    <s v="O/F: USD2800/20GP via MSK"/>
    <s v="-"/>
    <n v="2765.14"/>
    <x v="8"/>
    <x v="0"/>
  </r>
  <r>
    <s v="ZL005/04/24"/>
    <s v="Import"/>
    <x v="12"/>
    <s v="LOTNIK PILNE"/>
    <s v="-"/>
    <s v="EXW"/>
    <x v="1"/>
    <n v="11"/>
    <s v="package"/>
    <n v="423"/>
    <n v="1.3"/>
    <s v="-"/>
    <x v="2"/>
    <d v="2024-04-08T00:00:00"/>
    <s v="-"/>
    <d v="2024-04-11T00:00:00"/>
    <s v="Warszawa"/>
    <s v="AC Porath"/>
    <s v="Shipper/Yiwu Sili Import And Export Co., Ltd.                             "/>
    <s v="B2D Marcin "/>
    <s v="-"/>
    <s v="-"/>
    <s v="Routing: PVG-PEK-FRA-WAW / TT 4-5 dni_x000a_Koszty EXW Chiny – 350 USD_x000a_Fracht do WAW – 2426 USD_x000a_Koszty w PL – 1500 PLN_x000a_Licencja eksportowa 130 USD"/>
    <s v="-"/>
    <s v="-"/>
    <n v="2723.52"/>
    <x v="8"/>
    <x v="0"/>
  </r>
  <r>
    <s v="ZL203/01/24"/>
    <s v="Import"/>
    <x v="19"/>
    <s v="[RS10/3] SZSE24030703 RAIL cargo for Nensell"/>
    <s v="-"/>
    <s v="EXW"/>
    <x v="0"/>
    <n v="1"/>
    <s v="40HC"/>
    <s v="-"/>
    <n v="2"/>
    <s v="LCGU8060561 "/>
    <x v="2"/>
    <d v="2024-03-25T00:00:00"/>
    <s v="Changsha "/>
    <d v="2024-04-13T00:00:00"/>
    <s v="Warszawa"/>
    <s v="33a ENIGMA"/>
    <s v="-"/>
    <s v="-"/>
    <s v="-"/>
    <s v="-"/>
    <s v="R/F: USD8700/40HQ via Datian station "/>
    <s v="R/F: USD7300/40HQ via Datian station "/>
    <s v="-"/>
    <n v="1583.72"/>
    <x v="8"/>
    <x v="0"/>
  </r>
  <r>
    <s v="ZL183/03/24"/>
    <s v="Import"/>
    <x v="19"/>
    <s v="[RS15/3] "/>
    <s v="-"/>
    <s v="EXW"/>
    <x v="1"/>
    <n v="125"/>
    <s v="ctn"/>
    <n v="2172"/>
    <n v="6.359"/>
    <s v="FWRU0237750"/>
    <x v="3"/>
    <d v="2024-03-29T00:00:00"/>
    <s v="Changsha "/>
    <d v="2024-04-18T00:00:00"/>
    <s v="Warszawa"/>
    <s v="33a ENIGMA"/>
    <s v="Yangjiang Kaimi Import and Export Co., Ltd"/>
    <s v="Nensell KACPER ŻEBROWSKI "/>
    <s v="6.359CBM/2172.5KGS/125CTNS/CRD:Ready/EXW Changsha to Warsaw via LCL"/>
    <s v="-"/>
    <s v="EXW Changsha to Warsaw_x000a__x000a_EXW Cost: 400 USD ( DOC, CUSTOM CLEARANCE,CONSOLIDATION FEE)_x000a__x000a_R/F: USD150/CBM via Changsha station = 953,85 USD _x000a__x000a_ODPRAWA 300 PLN_x000a_TRANSPORT MALA : 1350 PLN _x000a__x000a_ETD: 30th.Mar_x000a_T/T: Around 18 Days"/>
    <s v="EXW Changsha to Warsaw_x000a_R/F: USD135/CBM via Changsha station_x000a_ETD: 30th.Mar_x000a_T/T: Around 18 Days_x000a_EXW Cost:_x000a_Doc: USD150/BL_x000a_Customs clearance fee: USD50/BL_x000a_Consolidate fee: USD75/Shipment"/>
    <s v="-"/>
    <n v="1039.72"/>
    <x v="8"/>
    <x v="0"/>
  </r>
  <r>
    <s v="ZL134/03/24"/>
    <s v="Import"/>
    <x v="25"/>
    <s v="RAIL SMLCD24031321  "/>
    <s v="-"/>
    <s v="-"/>
    <x v="1"/>
    <n v="1"/>
    <s v="40HC"/>
    <n v="2150"/>
    <n v="2.21"/>
    <s v="-"/>
    <x v="3"/>
    <d v="2024-03-30T00:00:00"/>
    <s v="Chengdu"/>
    <d v="2024-04-16T00:00:00"/>
    <s v="Małaszewice"/>
    <s v="art 33a anna@acspedycja.pl"/>
    <s v="-"/>
    <s v="-"/>
    <s v="-"/>
    <s v="-"/>
    <s v="995 USD ( EXW + FRACHT KOLEJOWY) + 1400 PLN ( ODPRAWA + TRANSPORT DROGOWY)"/>
    <s v="740 USD"/>
    <s v="-"/>
    <n v="1243.54"/>
    <x v="8"/>
    <x v="0"/>
  </r>
  <r>
    <s v="ZL206/01/24"/>
    <s v="Import"/>
    <x v="8"/>
    <s v="PFC01900"/>
    <s v="PFC"/>
    <s v="FOB"/>
    <x v="1"/>
    <n v="2"/>
    <s v="plt"/>
    <n v="1910"/>
    <n v="2.75"/>
    <s v="CAIU4687730"/>
    <x v="3"/>
    <d v="2024-02-16T00:00:00"/>
    <s v="Qingdao"/>
    <d v="2024-04-17T00:00:00"/>
    <s v="Gdańsk"/>
    <s v="Taksim-pol"/>
    <s v="Qingdao Bestyear Hardware &amp; Machinery Co.,Ltd"/>
    <s v="-"/>
    <s v="-"/>
    <s v="-"/>
    <s v="OF: 97 USD W/M_x000a_THC: 20 USD W/M_x000a_DOC: 20 USD_x000a_Odprawa: 220 PLN"/>
    <s v="OF: 86 USD W/M_x000a_THC: 10 USD W/M_x000a_DOC: 20 USD_x000a_DSK: 7 USD"/>
    <s v="-"/>
    <n v="259.27999999999997"/>
    <x v="8"/>
    <x v="0"/>
  </r>
  <r>
    <s v="ZL070/02/24"/>
    <s v="Import"/>
    <x v="5"/>
    <s v="RO: 0170693 SIN/GDN/01790"/>
    <s v="ECU"/>
    <s v="EXW"/>
    <x v="1"/>
    <n v="81"/>
    <s v="ctn"/>
    <n v="949.5"/>
    <n v="4.8"/>
    <s v="AMCU9420434"/>
    <x v="3"/>
    <d v="2024-03-09T00:00:00"/>
    <s v="Singapore"/>
    <d v="2024-04-19T00:00:00"/>
    <s v="Gdańsk"/>
    <s v="Taksim-pol"/>
    <s v="-"/>
    <s v="-"/>
    <s v="-"/>
    <s v="-"/>
    <s v="Stan na 20.02_x000a_EXW SINGAPORE: 750 USD_x000a_OFR SINGAPORE – GDAŃSK : 115 USD WM *4,8 USD = 552 USD _x000a_RED SEA CONTINGENCY SURCHARGE: 35 USD WM*4,8 CBM = 168 USD _x000a_THC 20 USD WM *4,8 cbm = 96 USD_x000a_DOC 25 USD _x000a_ODPRAWA 250 PLN_x000a_TRANSPORT GDN &gt; WAW ( LUZEM KARTONY ) : 900 PLN _x000a_TRANSPORT GDN &gt; WAW ( PALETY ) : 1050 PLN"/>
    <s v="-"/>
    <s v="-"/>
    <n v="1943"/>
    <x v="8"/>
    <x v="0"/>
  </r>
  <r>
    <s v="ZL112/01/24"/>
    <s v="Import"/>
    <x v="11"/>
    <s v="PFC01134"/>
    <s v="-"/>
    <s v="FOB"/>
    <x v="1"/>
    <n v="6"/>
    <s v="plt"/>
    <n v="4129"/>
    <n v="4.5999999999999996"/>
    <s v="OOCU8689957"/>
    <x v="3"/>
    <d v="2024-02-13T00:00:00"/>
    <s v="Shanghai"/>
    <d v="2024-04-20T00:00:00"/>
    <s v="Gdańsk"/>
    <s v="AC Klienta - DTA "/>
    <s v="-"/>
    <s v="-"/>
    <s v="-"/>
    <s v="-"/>
    <s v="OFR SHANGHAI – GDANSK : 95 USD WM * 4,1 CBM = 389,50 USD _x000a_THC GDANSK 20 USD WM *4,1 CBM =  82 USD _x000a_DOC 20 USD _x000a_ODPRAWA 220 PLN _x000a_TRANSPORT GDN &gt;PŁOCK: 1300 PLN "/>
    <s v="OF: 93 USD W/M_x000a_THC: 10 USD W/M_x000a_DOC: 20 USD_x000a_DSK: 7 USD"/>
    <s v="-"/>
    <n v="476.53"/>
    <x v="8"/>
    <x v="0"/>
  </r>
  <r>
    <s v="ZL143/01/24"/>
    <s v="Import"/>
    <x v="28"/>
    <s v="PFC01377 6 plt 4051kg K&amp;G MACHINERY KG4231130"/>
    <s v="-"/>
    <s v="FOB"/>
    <x v="1"/>
    <n v="7"/>
    <s v="plt"/>
    <n v="4050.9"/>
    <n v="8.07"/>
    <s v="OOCU8689957"/>
    <x v="3"/>
    <d v="2024-02-08T00:00:00"/>
    <s v="Shanghai"/>
    <d v="2024-04-20T00:00:00"/>
    <s v="Gdańsk"/>
    <s v="AC Klienta"/>
    <s v="-"/>
    <s v="-"/>
    <n v="702"/>
    <s v="-"/>
    <s v="OFR SHANGHAI – GDAŃSK 90 USD WM * 6,59 CBM = 539,10 USD _x000a_THC 20 USD WM * 6,59 CBM = 131.80 USD_x000a_DOC 25 USD_x000a_TRANSPORT GDN &gt; KRAKÓW : 1750 PLN_x000a_ _x000a_TOTAL: 749,90 USD + 1750 PLN"/>
    <s v="90 USD WM "/>
    <s v="-"/>
    <n v="702"/>
    <x v="8"/>
    <x v="0"/>
  </r>
  <r>
    <s v="ZL086/03/24"/>
    <s v="Import"/>
    <x v="8"/>
    <s v="SMLCD24040628 Płatna waga 5,6"/>
    <s v="IGS"/>
    <s v="FCA"/>
    <x v="1"/>
    <n v="2"/>
    <s v="package"/>
    <n v="2762"/>
    <n v="2.91"/>
    <s v="HNKU6090213"/>
    <x v="3"/>
    <d v="2024-04-07T00:00:00"/>
    <s v="Shanghai"/>
    <d v="2024-04-21T00:00:00"/>
    <s v="Małaszewice"/>
    <s v="Taksim-pol"/>
    <s v="Tiante Valve (China)_x000a_E-mail:yan@tt-valve.com.cn _x000a_            everbestvalve@hotmail.com"/>
    <s v="-"/>
    <s v="Płatna waga 5,6"/>
    <s v="Shee@smilelogistics.com _x000a_MB/WA/Skype/Wechat:13510294492 _x000a_ShenZhen Smile Int'l Logistics Co.,LTD."/>
    <s v="FCA Shanghai - Warsaw  USD 1150 TOTAL_x000a_DTHS wliczone_x000a_DOC: 20 USD/BL_x000a_Odprawa: 250 PLN/SAD_x000a_ "/>
    <s v="Local: 175 USD_x000a_Rail:&quot; 137 * 5,6 = 767 USD"/>
    <s v="-"/>
    <n v="993.3"/>
    <x v="8"/>
    <x v="0"/>
  </r>
  <r>
    <s v="ZL011/02/24"/>
    <s v="Import"/>
    <x v="1"/>
    <s v="-"/>
    <s v="Evergreen"/>
    <s v="FOB"/>
    <x v="0"/>
    <n v="8"/>
    <s v="20DV"/>
    <n v="217700"/>
    <n v="8"/>
    <s v="DRYU2757017_x000a_DRYU2996270_x000a_DRYU2567974_x000a_DRYU2668389_x000a_EGSU3068000_x000a_EGHU3183398_x000a_DRYU2670690_x000a_DRYU2690973"/>
    <x v="3"/>
    <d v="2024-02-17T00:00:00"/>
    <s v="Mundra"/>
    <d v="2024-04-24T00:00:00"/>
    <s v="Gdynia"/>
    <s v="AC Klienta"/>
    <s v="-"/>
    <s v="-"/>
    <n v="5447"/>
    <s v="-"/>
    <s v="OFR MUNDRA – GDYNIA 20 DV: 3115 USD per container _x000a_THC 215 EUR per container_x000a_DOC 55 EUR per container_x000a_ISPS 25 EUR per container _x000a_Ubezpieczenie wyniesie 761,96 PLN "/>
    <s v="3027 USD"/>
    <s v="SZ436000334624/009"/>
    <n v="5539.65"/>
    <x v="8"/>
    <x v="0"/>
  </r>
  <r>
    <s v="ZL168/01/24"/>
    <s v="Import"/>
    <x v="30"/>
    <s v="Odprawa + odwoz 236023894"/>
    <s v="-"/>
    <s v="-"/>
    <x v="0"/>
    <n v="1"/>
    <s v="40HC"/>
    <n v="6100"/>
    <n v="2"/>
    <s v="TCKU7258364"/>
    <x v="3"/>
    <d v="2024-02-23T00:00:00"/>
    <s v="INCHEON"/>
    <d v="2024-04-25T00:00:00"/>
    <s v="HAMBURG"/>
    <s v="Porath"/>
    <s v="-"/>
    <s v="-"/>
    <s v="-"/>
    <s v="-"/>
    <s v="THC 275 EUR_x000a_DOC 55 EUR _x000a_ISPS 25 EUR _x000a_ODPRAWA : 175 EUR _x000a_ _x000a_TRANSPORT HAMBURG &gt; ŁÓDZ : 1350 EUR  ( STAWKI POSZŁY W GÓRĘ Z RACJI MYTA W NIEMCZECH) "/>
    <s v="-"/>
    <s v="-"/>
    <n v="1050.96"/>
    <x v="8"/>
    <x v="0"/>
  </r>
  <r>
    <s v="ZL040/12/23"/>
    <s v="Import"/>
    <x v="31"/>
    <s v="[RS2/2] SZSE24022303 236689978  40HC OPEN TOP "/>
    <s v="-"/>
    <s v="FOB"/>
    <x v="0"/>
    <n v="1"/>
    <s v="40OT"/>
    <n v="3170"/>
    <n v="2"/>
    <s v="MAEU4205412"/>
    <x v="3"/>
    <d v="2024-03-06T00:00:00"/>
    <s v="Shanghai"/>
    <d v="2024-04-26T00:00:00"/>
    <s v="Gdańsk"/>
    <s v="-"/>
    <s v="ZHANJIANG KINGONE VEHICLE CO., LTD."/>
    <s v="P.H.U.P. "/>
    <s v="-"/>
    <s v="-"/>
    <s v="O/F: USD6900/40OT via MSK_x000a_THC 350 EUR_x000a_DOC 55 EUR_x000a_ISPS 25 EUR_x000a_ODPRAWA 220 PLN_x000a_TRANSPORT DĘBICA 39-200 : 5500 PLN + BAF 3%_x000a_INSURANCE ??? 469,31 PLN"/>
    <s v="O/F 6400 USD"/>
    <s v="SZ436000334624/011"/>
    <n v="2889.19"/>
    <x v="8"/>
    <x v="0"/>
  </r>
  <r>
    <s v="ZL188/02/24"/>
    <s v="Import"/>
    <x v="0"/>
    <s v="PFC03521/2024/MRY"/>
    <s v="-"/>
    <s v="EXW"/>
    <x v="1"/>
    <n v="153"/>
    <s v="ctn"/>
    <n v="1507"/>
    <n v="8.4"/>
    <s v="MSCU6583745"/>
    <x v="3"/>
    <d v="2024-03-13T00:00:00"/>
    <s v="Ningbo"/>
    <d v="2024-04-26T00:00:00"/>
    <s v="Gdańsk"/>
    <s v="-"/>
    <s v="NINGBO FABE CHILD SAFETY CO.,LTD"/>
    <s v="Ucllinium INTERNATIONAL SP. Z O.O."/>
    <s v="-"/>
    <s v="-"/>
    <s v="EXW CHINA : 455 USD _x000a_OFR NINGBO – GDAŃSK : 87 USD WM * 9 CBM = 783 USD _x000a_THC 20 USD WM * 9 CBM = 180 USD_x000a_DOC 20 USD_x000a_ODPRAWA 250 PLN_x000a_TRANSPORT GDN &gt; 16-010 : 1350 PLN _x000a__x000a_TOTAL : 1418 USD +1600 PLN _x000a_"/>
    <s v="-"/>
    <s v="-"/>
    <n v="1618.18"/>
    <x v="8"/>
    <x v="0"/>
  </r>
  <r>
    <s v="ZL026/03/24"/>
    <s v="Import"/>
    <x v="32"/>
    <s v="[RS6/3] SZSE24030410 177LNCNCN2H271A "/>
    <s v="MSC"/>
    <s v="FOB"/>
    <x v="0"/>
    <n v="1"/>
    <s v="40HC"/>
    <n v="11508"/>
    <n v="2"/>
    <s v="MSDU8665070"/>
    <x v="3"/>
    <d v="2024-03-13T00:00:00"/>
    <s v="Shanghai"/>
    <d v="2024-04-26T00:00:00"/>
    <s v="Gdańsk"/>
    <s v="33a ENIGMA"/>
    <s v="ANHUI WILLSOON FURNITURE CO.,LTD."/>
    <s v="VICT SP. Z O. O"/>
    <s v="stoły kateringowe to 16495$"/>
    <s v="-"/>
    <s v="O/F: USD3300/40HQ _x000a__x000a_THC 205 EUR_x000a_DOC 55 EUR _x000a_ISPS 25 EUR_x000a_ODPRAWA 250 PLN_x000a_TRANSPRORT KOLEJ GDN &gt; OPOLE: 3600 PLN_x000a_TRANSPORT DROGOWY dla MSC/MSK - 3500 PLN"/>
    <s v="-"/>
    <s v="-"/>
    <n v="2379.09"/>
    <x v="8"/>
    <x v="0"/>
  </r>
  <r>
    <s v="ZL104/02/24"/>
    <s v="Import"/>
    <x v="32"/>
    <s v="[RS1/2] SZSE24021904 OOLU2733807270"/>
    <s v="OOCL"/>
    <s v="FOB"/>
    <x v="0"/>
    <n v="1"/>
    <s v="40HC"/>
    <n v="13830.4"/>
    <n v="2"/>
    <s v="TGHU9783671"/>
    <x v="3"/>
    <d v="2024-02-29T00:00:00"/>
    <s v="Xingang"/>
    <d v="2024-04-27T00:00:00"/>
    <s v="Gdańsk"/>
    <s v="33a ENIGMA"/>
    <s v="LUOYANG EASTERN SUNRISE CO.,LTD_x000a_2-1302, NO.32 BUILDING, CHANGXIAMEN STREET, LUOLONG DISTRICT,_x000a_LUOYANG CITY, HENAN PROVINCE, CHINA"/>
    <s v="VICT SP. Z O. O"/>
    <s v="394 cartons "/>
    <s v="-"/>
    <s v="O/F: USD4300/40HQ _x000a_THC 205 EUR_x000a_DOC 55 EUR_x000a_ISPS 25 EUR_x000a_ODPRAWA 250 PLN_x000a_TRANSPRORT KOLEJ GDN &gt; OPOLE: 3600 PLN_x000a_TRANSPORT DROGOWY dla MSC/MSK - 3500 PLN"/>
    <s v="-"/>
    <s v="-"/>
    <n v="1576.37"/>
    <x v="8"/>
    <x v="0"/>
  </r>
  <r>
    <s v="ZL116/12/23"/>
    <s v="Import"/>
    <x v="3"/>
    <s v="[RS14/1] SZSE24011510 010301297175 "/>
    <s v="EMC"/>
    <s v="EXW"/>
    <x v="0"/>
    <n v="1"/>
    <s v="40HC"/>
    <n v="11770"/>
    <n v="2"/>
    <s v="EITU1232344"/>
    <x v="3"/>
    <d v="2024-02-16T00:00:00"/>
    <s v="Xingang"/>
    <d v="2024-04-27T00:00:00"/>
    <s v="Gdańsk"/>
    <s v="AC Porath"/>
    <s v="-"/>
    <s v="-"/>
    <n v="5102"/>
    <s v="-"/>
    <s v="EXW: 985 USD / 800_x000a_O/F: USD5500/40HQ + 600 USD STORAGE  via EMC / 5200_x000a_THC 275 EUR/ per container_x000a_DOC 55 EUR/ per container_x000a_ISPS 25 EUR/ per container_x000a_ODPRAWA 175 EUR / per zgłoszenie _x000a_TRANSPORT GDN &gt; RUMIA : 1400 PLN + BAF 3 % na dziś / per container_x000a_Niestety powstały spore koszty w wysokości 1000 USD. _x000a_Weżniemy z Richardem po 200 USD na głowę, czyli 400 USD w sumie, żeby ci pomóc/ zostanie 600 USD "/>
    <s v="EXW: 800 USD"/>
    <s v="-"/>
    <n v="5102.12"/>
    <x v="8"/>
    <x v="0"/>
  </r>
  <r>
    <s v="ZL125/01/24"/>
    <s v="Import"/>
    <x v="3"/>
    <s v="[RS25/1] SZSE24012503 010400125216 "/>
    <s v="EMC"/>
    <s v="EXW"/>
    <x v="0"/>
    <n v="1"/>
    <s v="40HC"/>
    <n v="11720"/>
    <n v="2"/>
    <s v="EITU9241698"/>
    <x v="3"/>
    <d v="2024-02-17T00:00:00"/>
    <s v="Tianjin"/>
    <d v="2024-04-27T00:00:00"/>
    <s v="Gdańsk"/>
    <s v="AC Porath"/>
    <s v="-"/>
    <s v="-"/>
    <n v="3973"/>
    <s v="-"/>
    <s v="O/F: USD4800/40HQ via EMC_x000a_ETD: 13th.Feb with SI cut off date 7th.Feb_x000a_ETA: 26th.Mar_x000a_T/T: 43 Days_x000a_EXW cost: USD850/40HQ"/>
    <s v="EXW Cost: USD1050/40HQ_x000a_O/F: USD5400/40HQ via EMC_x000a_THC 275 EUR/ per container_x000a_DOC 55 EUR/ per container_x000a_ISPS 25 EUR/ per container_x000a_ODPRAWA 175 EUR / per zgłoszenie _x000a_TRANSPORT GDN &gt; RUMIA : 1400 PLN + BAF 3 % na dziś / per container"/>
    <s v="-"/>
    <n v="3973.78"/>
    <x v="8"/>
    <x v="0"/>
  </r>
  <r>
    <s v="ZL208/02/24 (USD) + ZL160/03/24 (EUR) + ZL161/03/24 (PLN)"/>
    <s v="Import"/>
    <x v="25"/>
    <s v="[RS4/3] SZSE24030406 1x40HC NINGBO - GDAŃSK / S:SKYLARK /C:Agball"/>
    <s v="-"/>
    <s v="FOB"/>
    <x v="0"/>
    <n v="1"/>
    <s v="40HC"/>
    <s v="-"/>
    <n v="2"/>
    <s v="MSDU7935340"/>
    <x v="3"/>
    <d v="2024-03-15T00:00:00"/>
    <s v="Ningbo"/>
    <d v="2024-04-30T00:00:00"/>
    <s v="Gdańsk"/>
    <s v="art 33a anna@acspedycja.pl"/>
    <s v="SKYLARK NETWORK CO.,LTD._x000a_Santiago Wang +86 182 0405 5356 - "/>
    <s v="Agball Tomasz Woźniak Sp. K."/>
    <s v="-"/>
    <s v="-"/>
    <s v="OFR NINGBO - GDAŃSK 40 HC : 3400 USD _x000a_THC 205 EUR per container_x000a_DOC 55 EUR per container_x000a_ISPS 25 EUR per container_x000a_ODPRAWA 250 PLN per BL_x000a_TRANSPORT drogowy GDN&gt; Świnna Poręba 127a, 34-106 Mucharz:  4300 PLN per container _x000a_TRANSPORT kolejowy GDN &gt; Świnna Poręba 127a, 34-106 Mucharz: 4000 per container_x000a_INSURANCE 250 PLN _x000a_ _x000a_ALL IN : 3400USD ( FRACHT) + 307 USD ( KOSZTY LOKALNE) + 1139USD ( ODPRAWA + TRANSPORT KOLEJ) = 4846 USD"/>
    <s v="USD2800/40HQ"/>
    <s v="SZ436000334624/012"/>
    <n v="2458"/>
    <x v="8"/>
    <x v="0"/>
  </r>
  <r>
    <s v="ZL027/03/24"/>
    <s v="Import"/>
    <x v="21"/>
    <s v="[RS7/3] SZSE24030411 "/>
    <s v="-"/>
    <s v="FOB"/>
    <x v="0"/>
    <n v="1"/>
    <s v="40HC"/>
    <n v="8000"/>
    <n v="2"/>
    <s v="FCIU7407554"/>
    <x v="3"/>
    <d v="2024-03-15T00:00:00"/>
    <s v="Shanghai"/>
    <d v="2024-04-30T00:00:00"/>
    <s v="Gdańsk"/>
    <s v="AC Klienta - Complex SAD"/>
    <s v="HAILIAN PACKAGING EQUIPMENT CO.,LTD_x000a_Savior Chen_x000a_+86 13301568240_x000a_sales1@dairymachinery.cc"/>
    <s v="Loksfop Jacek Lisinski"/>
    <s v="1X40HQ/65CBM/8000KGS/8Pallates"/>
    <s v="test@test.com"/>
    <s v="-"/>
    <s v="2750 USD"/>
    <s v="-"/>
    <n v="2786.9"/>
    <x v="8"/>
    <x v="0"/>
  </r>
  <r>
    <s v="ZL193/02/24"/>
    <s v="Import"/>
    <x v="21"/>
    <s v="[RS3/2] SZSE24022902"/>
    <s v="MSC"/>
    <s v="FOB"/>
    <x v="0"/>
    <n v="2"/>
    <s v="40HC"/>
    <n v="18020"/>
    <n v="4"/>
    <s v="TLLU7922340 - 9397.5KGS_x000a_MEDU8536116 - 8622.5KGS"/>
    <x v="3"/>
    <d v="2024-03-15T00:00:00"/>
    <s v="Shanghai"/>
    <d v="2024-04-30T00:00:00"/>
    <s v="Gdańsk"/>
    <s v="AC Klienta - Complex SAD"/>
    <s v="HANGZHOU WINTOOLS TECHNOLOGY &amp; DEVELOPMENT CO.,LTD."/>
    <s v="Loksfop Jacek Lisinski"/>
    <s v="-"/>
    <s v="-"/>
    <s v="OFR SHANGHAI -GDANSK 40HC : 3300 USD per container _x000a_THC 255 EUR per container_x000a_DOC 55 EUR per container_x000a_ISPS 25 EUR per container_x000a_ODPRAWA 250 PLN_x000a_TRANSPORT GDN &gt; TORUŃ 40HC : 1900 PLN per container"/>
    <s v="2750/40HQ"/>
    <s v="-"/>
    <n v="5675.98"/>
    <x v="8"/>
    <x v="0"/>
  </r>
  <r>
    <s v="ZL134/02/24"/>
    <s v="Import"/>
    <x v="33"/>
    <s v="TLX PFC01649/2024/MRY"/>
    <s v="-"/>
    <s v="FOB"/>
    <x v="1"/>
    <n v="2"/>
    <s v="plt"/>
    <n v="390"/>
    <n v="1.93"/>
    <s v="TGBU3615278"/>
    <x v="3"/>
    <d v="2024-03-13T00:00:00"/>
    <s v="Xingang"/>
    <d v="2024-05-03T00:00:00"/>
    <s v="Gdańsk"/>
    <s v="-"/>
    <s v="HEBEI JILI RIGGING CO., LTD. "/>
    <s v="-"/>
    <s v="-"/>
    <s v="-"/>
    <s v="OFR XINGANG – GDAŃSK : 125 USD WM *1,5CBM = 187,50 USD _x000a_THC 20 USD WM * 1,5 CBM = 30 USD _x000a_DOC 25 USD _x000a_ODPRAWA 220 PLN_x000a_TRANSPORT: 450 PLN _x000a_ _x000a_TOTAL ; 242,50 USD + 670 PLN "/>
    <s v="FOB TJN: 80 USD W/M_x000a_THC: 20 USD_x000a_DOC: 20 USD_x000a_DSK: 7 USD"/>
    <s v="-"/>
    <n v="384.1"/>
    <x v="1"/>
    <x v="0"/>
  </r>
  <r>
    <s v="ZL210/02/24"/>
    <s v="Import"/>
    <x v="27"/>
    <s v="[RS1/3] SZSE24030109"/>
    <s v="MSC"/>
    <s v="FOB"/>
    <x v="0"/>
    <n v="1"/>
    <s v="40HC"/>
    <s v="-"/>
    <n v="2"/>
    <s v="MSDU8106473"/>
    <x v="3"/>
    <d v="2024-03-13T00:00:00"/>
    <s v="Qingdao"/>
    <d v="2024-05-03T00:00:00"/>
    <s v="Gdańsk"/>
    <s v="AC Klienta"/>
    <s v="QINGDAO HEALTHY CARE FOODSTUFF CO.,LTD"/>
    <s v="PETMEX Company Sp. z o.o."/>
    <s v="-"/>
    <s v="-"/>
    <s v="O/F: USD3250/40HQ via CMA per container_x000a_ETD: 12th.Mar with SI cut off date 7th.Mar_x000a_ETA: 23rd.Apr_x000a_T/T: 42 Days_x000a_THC 205 EUR per container_x000a_DOC 55 EUR per container_x000a_ISPS 25 EUR per container"/>
    <s v="USD2800/40HQ"/>
    <s v="-"/>
    <n v="1818.05"/>
    <x v="1"/>
    <x v="0"/>
  </r>
  <r>
    <s v="ZL005/03/24"/>
    <s v="Import"/>
    <x v="28"/>
    <s v="[RS2/3] SZSE24030114 177ICACAQ0808VFB"/>
    <s v="MSC"/>
    <s v="FOB"/>
    <x v="0"/>
    <n v="2"/>
    <s v="20DV"/>
    <n v="38940"/>
    <n v="2"/>
    <s v="GATU0236000 - 19670kg_x000a_MSDU2773376 - 19270kg"/>
    <x v="3"/>
    <d v="2024-03-13T00:00:00"/>
    <s v="Qingdao"/>
    <d v="2024-05-03T00:00:00"/>
    <s v="Gdańsk"/>
    <s v="AC Klienta"/>
    <s v="-"/>
    <s v="-"/>
    <s v="-"/>
    <s v="-"/>
    <s v="O/F: USD1975/20GP MSK per container _x000a_THC 210 EUR per container _x000a_DOC 55 EUR per container_x000a_ISPS 25 EUR per container_x000a__x000a_TRANSPORT GDN &gt; KRAKÓW 20 DV KOLEJ : 3000 PLN per container "/>
    <s v="USD1700/20GP "/>
    <s v="-"/>
    <n v="2660.54"/>
    <x v="1"/>
    <x v="0"/>
  </r>
  <r>
    <s v="ZL034/02/24"/>
    <s v="Import"/>
    <x v="15"/>
    <s v="[RS5/3]  SZSE24030408 / SO#: 236970938"/>
    <s v="-"/>
    <s v="FOB"/>
    <x v="0"/>
    <n v="1"/>
    <s v="20DV"/>
    <n v="5487.16"/>
    <n v="1"/>
    <s v="MSKU7500908"/>
    <x v="3"/>
    <d v="2024-03-13T00:00:00"/>
    <s v="Manila"/>
    <d v="2024-05-03T00:00:00"/>
    <s v="Gdańsk"/>
    <s v="-"/>
    <s v="ROH AUTO PRODUCTS PHILIPPINES INC_x000a_    MARCOS ALVAREZ AVE TALON 5, 1740 LAS PINAS CENTRAL POST OFFICE, PH_x000a_    Osoba do kontaktu:_x000a_    Nick Caluya &lt;rohsteel@gmail.com&gt;_x000a_    tel. +638011116"/>
    <s v="-"/>
    <s v="Commodity: Steel wheels_x000a_1X20GP/5487.16KGS/327PCS/CRD:29th"/>
    <s v="-"/>
    <s v="-"/>
    <s v="-"/>
    <s v="-"/>
    <n v="4092.76"/>
    <x v="1"/>
    <x v="0"/>
  </r>
  <r>
    <s v="ZL003/03/24"/>
    <s v="Import"/>
    <x v="7"/>
    <s v="[RS8/3] SZSE24030107 181AGG4TC018141S1 "/>
    <s v="MSC"/>
    <s v="FOB"/>
    <x v="0"/>
    <n v="1"/>
    <s v="40HC"/>
    <s v="-"/>
    <n v="2"/>
    <s v="TRHU7324696"/>
    <x v="3"/>
    <d v="2024-03-13T00:00:00"/>
    <s v="Huangpu"/>
    <d v="2024-05-03T00:00:00"/>
    <s v="Gdańsk"/>
    <s v="AC Klienta Taksim-pol"/>
    <s v="Guangdong Baiyun Cleaning Company Limited_x000a_(renamed from 22nd March,2021)_x000a_E-mail:by813@byclean.cn_x000a_Tel:(8620) 86062028_x000a_Fax:(8620) 86060168"/>
    <s v="Tedlew"/>
    <s v="1X40HQ/67.07CBM/5889.6KGS/451CTNS/CRD:10th.Mar/FOB Huangpu to Gdansk"/>
    <s v="-"/>
    <s v="O/F: USD3400/40HQ via CMA_x000a_ETD: 11th.Mar with SI cut off date 9th.Mar_x000a_ETA: 2nd.,May_x000a_T/T: 52 Days_x000a__x000a_THC 205 EUR_x000a_DOC 55 EUR _x000a_ISPS 25 EUR _x000a_ _x000a_TRANSPORT GDN &gt; BYTOM : 3400 PLN + BAF 3%"/>
    <s v="USD2970/40HQ"/>
    <s v="-"/>
    <n v="1923.23"/>
    <x v="1"/>
    <x v="0"/>
  </r>
  <r>
    <s v="ZL031/03/24"/>
    <s v="Import"/>
    <x v="32"/>
    <s v="[RS9/3] SZSE24030518 181AN24C0112570S1 "/>
    <s v="MSC"/>
    <s v="FOB"/>
    <x v="0"/>
    <n v="1"/>
    <s v="40HC"/>
    <n v="5360"/>
    <n v="2"/>
    <s v="MSDU8807391"/>
    <x v="3"/>
    <d v="2024-03-16T00:00:00"/>
    <s v="NANSHA "/>
    <d v="2024-05-05T00:00:00"/>
    <s v="Gdańsk"/>
    <s v="33a ENIGMA"/>
    <s v="Zhejiang Ruier Leisure Products Co., Ltd._x000a_Real Group_x000a_Email: felicia@realgroup.cn_x000a_Tel:  86-0571-81026282_x000a_Whatsapp: +86 13758017665_x000a_Mob/Wechat:  13336096256"/>
    <s v="VICT SP. Z O. O"/>
    <s v="1X40HQ/68CBM/5500KGS/390PCS/CRD:12th.Mar/FOB Nansha to Gdansk"/>
    <s v="-"/>
    <s v="3200 USD_x000a_285 EUR_x000a_250 PLN_x000a_3500 PLN "/>
    <s v="2750 USD"/>
    <s v="-"/>
    <n v="1977.73"/>
    <x v="1"/>
    <x v="0"/>
  </r>
  <r>
    <s v="ZL008/03/24"/>
    <s v="Import"/>
    <x v="11"/>
    <s v="PFC03584/2024/MRY"/>
    <s v="PFC"/>
    <s v="FOB"/>
    <x v="1"/>
    <n v="11"/>
    <s v="plt"/>
    <n v="6766"/>
    <n v="5.55"/>
    <s v="MSMU4004865"/>
    <x v="3"/>
    <d v="2024-03-15T00:00:00"/>
    <s v="Shanghai"/>
    <d v="2024-05-05T00:00:00"/>
    <s v="Gdańsk"/>
    <s v="-"/>
    <s v="GUI ZHOU CORF TECHNOLOGY CO., LIMITED    "/>
    <s v="Przedsiębiorstwo Handlowo Transportowe OMEGA  Tomasz Laszuk Sp. Komandytowa"/>
    <s v="-"/>
    <s v="-"/>
    <s v="OFR SHANGHAI – GDAŃSK : 71 USD WM * 6,766 = 479,96 USD _x000a_THC 20 USD WM * 6,766 = 135,32 USD _x000a_DOC 20 USD _x000a_ODPRAWA 250 PLN _x000a_TRANSPORT GDN &gt; PŁOCK : 1400 PLN _x000a_ _x000a_TOTAL: 635,28 USD + 1650 PLN"/>
    <s v="Taryfa PFC bez dodatku OWS"/>
    <s v="-"/>
    <n v="379.58"/>
    <x v="1"/>
    <x v="0"/>
  </r>
  <r>
    <s v="ZL012/02/24"/>
    <s v="Import"/>
    <x v="34"/>
    <s v="PFC02133 PO CNY"/>
    <s v="-"/>
    <s v="EXW"/>
    <x v="1"/>
    <n v="2"/>
    <s v="plt"/>
    <n v="293"/>
    <n v="4.6239999999999997"/>
    <s v="FBIU5025571"/>
    <x v="3"/>
    <d v="2024-03-24T00:00:00"/>
    <s v="Shenzhen"/>
    <d v="2024-05-07T00:00:00"/>
    <s v="Gdańsk"/>
    <s v="-"/>
    <s v="Shenzhen Feiyasi Electronic Ecommerce Co., Ltd."/>
    <s v="Kavex Jakub Kawalec"/>
    <s v="-"/>
    <s v="-"/>
    <s v="EXW: 390 USD + 175 USD dodatkowy kozst za licencje i odprawe eksportowa_x000a_OFR SHENZHEN – GDAŃSK : 107 USD WM * 3,68 CBM = 393,76 USD _x000a_THC 20 USD WM *3,68 USD = 73,60 USD _x000a_DOC 25 USD _x000a_ODPRAWA 250 PLN_x000a_TRANSPORT GDN &gt; 71-794 Szczecin : 750 PLN + 100 PLN / winda + paleciak _x000a__x000a_TOTAL : 882,36 USD + 1000 PLN "/>
    <s v="EXW: 290 USD + 140 USD"/>
    <s v="-"/>
    <n v="1781.78"/>
    <x v="1"/>
    <x v="0"/>
  </r>
  <r>
    <s v="ZL049/03/24"/>
    <s v="Import"/>
    <x v="6"/>
    <s v="PFC04063/2024/MRY EXW morski - NIHON - - ZXPCD20240104"/>
    <s v="-"/>
    <s v="EXW"/>
    <x v="1"/>
    <n v="27"/>
    <s v="ctn"/>
    <n v="308"/>
    <n v="1.855"/>
    <s v="FBIU5025571"/>
    <x v="3"/>
    <d v="2024-03-25T00:00:00"/>
    <s v="Shenzhen"/>
    <d v="2024-05-08T00:00:00"/>
    <s v="Gdańsk"/>
    <s v="Agencja Klienta - DTA"/>
    <s v="Shenzhen Zhongxi Security Co., Ltd"/>
    <s v="Mkalam"/>
    <s v="-"/>
    <s v="Kinmy Jiang_x000a_Tel: +86 1311 957 4523_x000a_Email: cs5.exp.szx@chinacoast.com.cn"/>
    <s v="EXW Shenzhen: 355 USD_x000a_OFR 70 USD WM * 1,754 CBM = 122,78 USD _x000a_THC 15 USD WM *1,754 CBM = 26,31 USD_x000a_DOC 25 USD_x000a_TRANSPORT  580 = 148 USD _x000a_ _x000a_TOTAL: 677,09 USD "/>
    <s v="EXW Shenzhen: 280 USD_x000a_+ stawki taryfowe"/>
    <s v="-"/>
    <n v="474.79"/>
    <x v="1"/>
    <x v="0"/>
  </r>
  <r>
    <s v="ZL032/03/24"/>
    <s v="Import"/>
    <x v="5"/>
    <s v="RO: 0173293 JEA/GDN/00031 "/>
    <s v="-"/>
    <s v="FOB"/>
    <x v="1"/>
    <n v="6"/>
    <s v="plt"/>
    <n v="914.54"/>
    <n v="8.0299999999999994"/>
    <s v="HASU4404835"/>
    <x v="3"/>
    <d v="2024-03-21T00:00:00"/>
    <s v="Jebel Ali"/>
    <d v="2024-05-09T00:00:00"/>
    <s v="Gdańsk"/>
    <s v="Taksim-pol"/>
    <s v="-"/>
    <s v="-"/>
    <s v="-"/>
    <s v="-"/>
    <s v="OFR JEBEL ALI – GDANSK : 183 USD WM * 8,03 CBM = 1469,49 USD_x000a_THC 20 USD WM * 8,03 CBM = 160,60 USD_x000a_DOC 20 USD_x000a_ODPRAWA 250 PLN_x000a_TRANSPORT GDN &gt; WAW: 1200 PLN _x000a__x000a_TOTAL : 1650,09 USD + 1450 PLN "/>
    <s v="-"/>
    <s v="-"/>
    <n v="1682.24"/>
    <x v="1"/>
    <x v="0"/>
  </r>
  <r>
    <s v="ZL046/03/24"/>
    <s v="Import"/>
    <x v="21"/>
    <s v="[RS11/3] SZSE24030816 177LNCNCN1H366A "/>
    <s v="-"/>
    <s v="FOB"/>
    <x v="0"/>
    <n v="3"/>
    <s v="40HC"/>
    <n v="28038.6"/>
    <n v="6"/>
    <s v="MSDU5888110 - 6720_x000a_MSMU7617726 - 10716,6_x000a_FFAU2080902 - 10602"/>
    <x v="3"/>
    <d v="2024-03-23T00:00:00"/>
    <s v="Ningbo"/>
    <d v="2024-05-09T00:00:00"/>
    <s v="Gdańsk"/>
    <s v="AC Klienta - Complex SAD"/>
    <s v="HANGZHOU WINTOOLS TECHNOLOGY &amp; DEVELOPMENT CO.,LTD._x000a_Shipper: CRM@WINTOOLS.COM.CN _x000a_86 13666605503"/>
    <s v="Loksfop JACEK LISINSKI_x000a_UL.STRUMYKOWA 3,87-400 GOLUB-DOBRZYN,POLAND_x000a_PL8781718072"/>
    <s v="Commodity: TOOL CABINET_x000a_3X40HQ/167CBM/28659KGS/195CTNS/CRD:5th.Mar/FOB Ningbo to Gdansk"/>
    <s v="-"/>
    <s v="OFR SHANGHAI -GDANSK 40HC : 3000 USD per container _x000a_THC 255 EUR per container_x000a_DOC 55 EUR per container_x000a_ISPS 25 EUR per container_x000a_ODPRAWA 250 PLN_x000a_TRANSPORT GDN &gt; TORUŃ 40HC : 1900 PLN per container"/>
    <s v="2535 USD"/>
    <s v="-"/>
    <n v="7576.53"/>
    <x v="1"/>
    <x v="0"/>
  </r>
  <r>
    <s v="ZL042/03/24"/>
    <s v="Import"/>
    <x v="7"/>
    <s v="[RS12/3] SZSE24031202 236608228"/>
    <s v="-"/>
    <s v="FOB"/>
    <x v="0"/>
    <n v="1"/>
    <s v="20DV"/>
    <n v="10317"/>
    <n v="1"/>
    <s v="FAMU8830100"/>
    <x v="3"/>
    <d v="2024-04-01T00:00:00"/>
    <s v="Tianjin"/>
    <d v="2024-05-13T00:00:00"/>
    <s v="Gdańsk"/>
    <s v="AC Klienta - Taksim-pol"/>
    <s v="-"/>
    <s v="-"/>
    <s v="-"/>
    <s v="-"/>
    <s v="OFR XINGANG – GDAŃSK 20DV: 1700 USD_x000a_THC 210 EUR_x000a_DOC 55 EUR_x000a_ISPS 25 EUR_x000a_TRANSPORT 20DV : 2900 PLN ( stawka ważna do 31.03.2024)"/>
    <s v="-"/>
    <s v="-"/>
    <n v="1093.81"/>
    <x v="1"/>
    <x v="0"/>
  </r>
  <r>
    <s v="ZL132/03/24"/>
    <s v="Import"/>
    <x v="6"/>
    <s v=" PFC04482 U1107324010401"/>
    <s v="-"/>
    <s v="FOB"/>
    <x v="1"/>
    <n v="21"/>
    <s v="ctn"/>
    <n v="245"/>
    <n v="1.7"/>
    <s v="MEDU4240213"/>
    <x v="3"/>
    <d v="2024-03-31T00:00:00"/>
    <s v="Shanghai"/>
    <d v="2024-05-15T00:00:00"/>
    <s v="Gdansk"/>
    <s v="AC Klienta - DTA "/>
    <s v="UNV Digital Technologies Company limited_x000a_Echo 黄桂英_x000a_Mobile: +86-18158405369_x000a_E-mail: huangguiying@uniview.com_x000a_Add: No. 369, Xietong Road, Xixing Sub-district, Binjiang District, Hangzhou City, Zhejiang Province, China(310051)"/>
    <s v="Mkalam SECURITY SP. Z O.O. SP. K"/>
    <s v="-"/>
    <s v="Mr. Fengy _x000a_Tel: +86-21-63930701 _x000a_E-mail: swin@jiyida-logistics.com"/>
    <s v="&gt;&gt; OFR SHANGHAI/NINGBO - GDAŃSK : 75 USD WM * 1,7 CBM = 127,50 USD THC _x000a_&gt;&gt; 15 USD WM * 1,7 CBM = 25,50 USD DOC 25 USD TRANSPORT 290 PLN ( 75 _x000a_&gt;&gt; USD)_x000a_&gt;&gt;_x000a_&gt;&gt; TOTAL : 253 USD"/>
    <s v="OF: 55 USD W/M_x000a_THC: 10 USD W/M, MIN 20 USD_x000a_DOC: 20 USD_x000a_DSK: 7 USD"/>
    <s v="-"/>
    <n v="227.24"/>
    <x v="1"/>
    <x v="0"/>
  </r>
  <r>
    <s v="ZL133/02/24"/>
    <s v="Import"/>
    <x v="15"/>
    <s v="NEW order RO: 0171669"/>
    <s v="-"/>
    <s v="FOB"/>
    <x v="1"/>
    <n v="6"/>
    <s v="plt"/>
    <n v="6052"/>
    <n v="14.851000000000001"/>
    <s v="TRHU7826668"/>
    <x v="3"/>
    <d v="2024-03-12T00:00:00"/>
    <s v="Brisbane"/>
    <d v="2024-05-15T00:00:00"/>
    <s v="Gdańsk"/>
    <s v="Taksim-pol"/>
    <s v="Dobinsons Spring &amp; Suspension - Australia_x000a_58 Hollingsworth Street_x000a_North Rockhampton QLD 4701"/>
    <s v="-"/>
    <s v="Total : 6194 kg_x000a_Cubic: 15,686 cbm _x000a__x000a_1 x 115x115x195 cm – 1030 kg_x000a_1 x 115x115x193 cm – 965 kg_x000a_1 x 115x115x190 cm – 1058 kg_x000a_1 x 115x115x195 cm – 1065 kg_x000a_1 x 115x115x193cm – 941 kg_x000a_1 x 115x132x192cm – 1135 kg"/>
    <s v="-"/>
    <s v="FOB BRISBANE via HONG KONG to GDAŃSK : 187 USD WM * 15,686cbm = 3247 USD / położymy coś lekkiego na palety _x000a_THC 20 USD WM *15,686 CBM = 313,72USD _x000a_DOC 20 USD _x000a_ODPRAWA 220 PLN _x000a_TRANSPORT AUTO Z WINDĄ : 2300 PLN_x000a__x000a_TOTAL : 3580,72 USD + 2520 PLN "/>
    <s v="160 USD WM"/>
    <s v="-"/>
    <n v="2806.63"/>
    <x v="1"/>
    <x v="0"/>
  </r>
  <r>
    <s v="ZL040/02/24"/>
    <s v="Import"/>
    <x v="35"/>
    <s v="[RS21/3] SZSE24032809 237840948 "/>
    <s v="-"/>
    <s v="EXW"/>
    <x v="0"/>
    <n v="1"/>
    <s v="20DV"/>
    <n v="2203.89"/>
    <s v="-"/>
    <s v="MRKU6569723"/>
    <x v="3"/>
    <d v="2024-04-06T00:00:00"/>
    <s v="Shanghai"/>
    <d v="2024-05-17T00:00:00"/>
    <s v="Gdańsk"/>
    <s v="-"/>
    <s v="-"/>
    <s v="-"/>
    <s v="-"/>
    <s v="-"/>
    <s v="EXW Cost: USD1025/20GP_x000a_ O/F: USD2950/20GP via CMA _x000a_THC 205 EUR_x000a_DOC 55 EUR_x000a_ISPS 25 EUR_x000a_ _x000a_ODPRAWA 220 PLN _x000a_Transport 20 DV do 10 ton: 2300 PLN_x000a_Transport 20 DV do 21 ton : 2700 PLN_x000a_( GDN - Podciernie 21 05-319 Cegłów)  "/>
    <s v="O/F: USD1650/20GP via MSK_x000a_ETD: 2nd.Apr with SI cut off date 29th.Mar_x000a_ETA: 17th.May_x000a_T/T: 45 Days_x000a__x000a_EXW Cost: USD890/20GP"/>
    <s v="-"/>
    <n v="5514.22"/>
    <x v="1"/>
    <x v="0"/>
  </r>
  <r>
    <s v="ZL080/03/24"/>
    <s v="Import"/>
    <x v="27"/>
    <s v="[RS16/3] FOB Ho Chi Minh"/>
    <s v="-"/>
    <s v="FOB"/>
    <x v="0"/>
    <n v="1"/>
    <s v="20DV"/>
    <n v="7500"/>
    <n v="1"/>
    <s v="MSKU2825562"/>
    <x v="3"/>
    <d v="2024-04-08T00:00:00"/>
    <s v="Ho Chi Minh"/>
    <d v="2024-05-17T00:00:00"/>
    <s v="Gdańsk"/>
    <s v="AC Klienta"/>
    <s v="HANG XANH COMPANY LIMITED"/>
    <s v="PETMEX COMPANY SP. Z O. O."/>
    <s v="Commodity: WOOD CHEW TOYS_x000a_1X20GP/7800KGS/300CTNS/CRD:3rd.Apr/FOB "/>
    <s v="-"/>
    <s v="O/F: USD2100/20GP via MSK_x000a_ETD: 8th.Apr with SI cut off date 4th.Apr_x000a_ETA: 17th.May_x000a_T/T: 39 Days_x000a__x000a_THC 205 EUR per container_x000a_DOC 55 EUR per container_x000a_ISPS 25 EUR per container"/>
    <s v="O/F: USD1900/20GP via MSK"/>
    <s v="-"/>
    <n v="1618.44"/>
    <x v="1"/>
    <x v="0"/>
  </r>
  <r>
    <s v="ZL105/02/24"/>
    <s v="Import"/>
    <x v="29"/>
    <s v="[RS20/3] SZSE24032819 237884196 "/>
    <s v="-"/>
    <s v="EXW Baoan "/>
    <x v="0"/>
    <n v="1"/>
    <s v="40HC"/>
    <s v="-"/>
    <n v="2"/>
    <s v="-"/>
    <x v="3"/>
    <d v="2024-04-07T00:00:00"/>
    <s v="Yantian"/>
    <d v="2024-05-17T00:00:00"/>
    <s v="Gdańsk"/>
    <s v="Taksim-pol"/>
    <s v="VANSTRON Automation Co.Ltd."/>
    <s v="Asolemp"/>
    <s v="Commodity:_x000a_Bare boards Destacker_x000a_Vertical Buffer_x000a_500mm linking conveyor_x000a_1X40HQ/19.8CBM/2375KGS/CRD:29th.Mar/EXW Baoan to Gdansk via Yantian"/>
    <s v="-"/>
    <s v="EXW Cost: USD1100/40HQ_x000a_O/F: USD3100/40HQ_x000a_THC 205 EUR_x000a_DOC 55 EUR_x000a_ISPS 25 EUR_x000a_ODPRAWA 250 PLN _x000a_TRANSPORT GDN &gt; KWIDZYŃ: 1600 PLN "/>
    <s v="USD2600/40HQ+EXW Cost:USD690/40HQ."/>
    <s v="-"/>
    <n v="3742.76"/>
    <x v="1"/>
    <x v="0"/>
  </r>
  <r>
    <s v="ZL084/03/24"/>
    <s v="Import"/>
    <x v="8"/>
    <s v="PFC04259 Dostałam informację, że załadowca będzie mieć przygotowany towar 24.03. Najwcześniejsze wyjście to ETD 2.04."/>
    <s v="PFC"/>
    <s v="FOB"/>
    <x v="1"/>
    <n v="4"/>
    <s v="package"/>
    <n v="2652"/>
    <n v="4.8639999999999999"/>
    <s v="-"/>
    <x v="3"/>
    <d v="2024-04-03T00:00:00"/>
    <s v="Shanghai"/>
    <d v="2024-05-19T00:00:00"/>
    <s v="Gdańsk"/>
    <s v="Taksim-pol"/>
    <s v="YANCHENG TIANTE VALVE CO.,LTD."/>
    <s v="-"/>
    <s v="-"/>
    <s v="Mr. Fengy_x000a_Tel: +86-21-63930701_x000a_E-mail: swin@jiyida-logistics.com"/>
    <s v="OFR 65 USD WM * 4,86 CBM = 315,90 USD_x000a_THC 20 USD WM * 4,86 CBM = 97,20 USD _x000a_DOC 25 USD _x000a_ODPRAWA 220 PLN_x000a_TRANSPORT GDN &gt; OSIELSKO 86-031 : 1000 PLN  _x000a__x000a_TOTAL: 438,10 USD + 1220 PLN  "/>
    <s v="OF: 55 USD W/M (15-31/3)"/>
    <s v="-"/>
    <n v="449.48"/>
    <x v="1"/>
    <x v="0"/>
  </r>
  <r>
    <s v="ZL006/03/24"/>
    <s v="Import"/>
    <x v="27"/>
    <s v="[RS3/3] SZSE24030118"/>
    <s v="-"/>
    <s v="FOB"/>
    <x v="0"/>
    <n v="1"/>
    <s v="40HC"/>
    <n v="8400"/>
    <n v="2"/>
    <s v="MSMU8761738"/>
    <x v="3"/>
    <d v="2024-04-01T00:00:00"/>
    <s v="Qingdao"/>
    <d v="2024-05-24T00:00:00"/>
    <s v="Gdańsk"/>
    <s v="AC Klienta"/>
    <s v="QINGDAO HEALTHY CARE FOODSTUFF CO.,LTD"/>
    <s v="-"/>
    <s v="-"/>
    <s v="-"/>
    <s v="O/F: USD3250/40HQ via CMA per container_x000a_ETD: 12th.Mar with SI cut off date 7th.Mar_x000a_ETA: 23rd.Apr_x000a_T/T: 42 Days_x000a_THC 205 EUR per container_x000a_DOC 55 EUR per container_x000a_ISPS 25 EUR per container"/>
    <s v="USD2800/40HQ"/>
    <s v="-"/>
    <n v="2816.1"/>
    <x v="1"/>
    <x v="0"/>
  </r>
  <r>
    <s v="ZL158/02/24"/>
    <s v="Import"/>
    <x v="14"/>
    <s v="[RS19/3]  SZSE24032616"/>
    <s v="-"/>
    <s v="FOB"/>
    <x v="0"/>
    <n v="1"/>
    <s v="20DV"/>
    <n v="11654.32"/>
    <n v="1"/>
    <s v="MSKU5908655"/>
    <x v="3"/>
    <d v="2024-04-04T00:00:00"/>
    <s v="Ningbo"/>
    <d v="2024-05-24T00:00:00"/>
    <s v="Gdańsk"/>
    <s v="Tranzyt do Chrzanowa"/>
    <s v="-"/>
    <s v="-"/>
    <s v="Commodity: AUTO PARTS_x000a_1X20GP/28.01CBM/11374.32KGS/781CTNS/CRD:25th.Mar/FOB Ningbo to Gdansk"/>
    <s v="-"/>
    <s v="O/F: USD2400// 20GP via MSK_x000a_THC 205 EUR_x000a_DOC 55 EUR_x000a_ISPS 25 EUR_x000a_T1 200 PLN_x000a_INSURANCE: 350 PLN_x000a_TRANSPORT 32-500 CHRZANÓW : 3600 PLN + BAF 4%"/>
    <s v="USD1625/20GP."/>
    <s v="TAK 014"/>
    <n v="3188.74"/>
    <x v="1"/>
    <x v="0"/>
  </r>
  <r>
    <s v="ZL133/03/24"/>
    <s v="Import"/>
    <x v="36"/>
    <s v="[RS14/3] SZSE24031506 177KVBACXRNN1398 "/>
    <s v="-"/>
    <s v="FOB"/>
    <x v="0"/>
    <n v="1"/>
    <s v="40HC"/>
    <s v="-"/>
    <n v="2"/>
    <s v="MSMU8776620"/>
    <x v="3"/>
    <d v="2024-03-30T00:00:00"/>
    <s v="Xingang"/>
    <d v="2024-05-24T00:00:00"/>
    <s v="Gdańsk"/>
    <s v="Enigma 33a"/>
    <s v="HEBEI MINGSHUAI FURNITURE SALES CO.,LTD."/>
    <s v="Szchara sp. z o.o."/>
    <s v="Commodity: CHAIR AND TABLE_x000a_1X40HQ/68.07CBM/12592KGS/2820PACKAGES/CRD:23rd.Mar/FOB "/>
    <s v="-"/>
    <s v="OFR XINGANG/ TIANJIN - GDANSK 40HC : 2400 USD per container_x000a_THC 205 EUR per container_x000a_DOC 55 EUR per container_x000a_ISPS 25 EUR per container _x000a_ODPRAWA 250 PLN per B/L_x000a_TRANSPORT 20DV/40HC : 1900 PLN per container_x000a_ INSURANCE: 270 PLN_x000a_TOTAL : 40HC : 3265 USD "/>
    <s v="-"/>
    <s v="TAK 013"/>
    <n v="1106.3599999999999"/>
    <x v="1"/>
    <x v="0"/>
  </r>
  <r>
    <s v="ZL194/02/24"/>
    <s v="Import"/>
    <x v="3"/>
    <s v="[RS4/2] SZSE24022908"/>
    <s v="MSC"/>
    <s v="EXW"/>
    <x v="0"/>
    <n v="1"/>
    <s v="40HC"/>
    <n v="12710"/>
    <n v="2"/>
    <s v="MEDU7491228"/>
    <x v="3"/>
    <d v="2024-03-23T00:00:00"/>
    <s v="Xingang"/>
    <d v="2024-05-27T00:00:00"/>
    <s v="Gdańsk"/>
    <s v="AC Porath"/>
    <s v="-"/>
    <s v="-"/>
    <s v="-"/>
    <s v="-"/>
    <s v="EXW: 985 USD _x000a_O/F: USD3500/40HQ via CMA_x000a_ETD: 15th.Mar with SI cut off date 11th.Mar_x000a_ETA: 11th.May_x000a_T/T: 57 Days_x000a__x000a__x000a_THC 275 EUR/ per container_x000a_DOC 55 EUR/ per container_x000a_ISPS 25 EUR/ per container_x000a_ODPRAWA 175 EUR / per zgłoszenie _x000a_TRANSPORT GDN &gt; RUMIA : 1400 PLN + BAF 3 % na dziś / per container"/>
    <s v="rate USD2800/40HQ+EXW cost: USD820/40HQ"/>
    <s v="-"/>
    <n v="4857.16"/>
    <x v="1"/>
    <x v="0"/>
  </r>
  <r>
    <s v="ZL189/02/24"/>
    <s v="Import"/>
    <x v="15"/>
    <s v="RO: 0172596 BNE/GDN/00095"/>
    <s v="-"/>
    <s v="FOB"/>
    <x v="1"/>
    <n v="3"/>
    <s v="plt"/>
    <n v="2688"/>
    <n v="6.7080000000000002"/>
    <s v="-"/>
    <x v="3"/>
    <d v="2024-03-28T00:00:00"/>
    <s v="Brisbane"/>
    <d v="2024-05-29T00:00:00"/>
    <s v="Gdańsk"/>
    <s v="Taksim-pol"/>
    <s v="Dobinsons Spring &amp; Suspension - Australia_x000a_58 Hollingsworth Street_x000a_North Rockhampton QLD 4701"/>
    <s v="-"/>
    <s v="-"/>
    <s v="-"/>
    <s v="-"/>
    <s v="-"/>
    <s v="-"/>
    <n v="1277.3399999999999"/>
    <x v="1"/>
    <x v="0"/>
  </r>
  <r>
    <s v="ZL171/03/24"/>
    <s v="Import"/>
    <x v="15"/>
    <s v="0175345 MEL/GDN/0068203"/>
    <s v="-"/>
    <s v="FOB"/>
    <x v="1"/>
    <n v="5"/>
    <s v="plt"/>
    <n v="5059"/>
    <n v="12.775"/>
    <s v="FFAU3093062"/>
    <x v="3"/>
    <d v="2024-04-06T00:00:00"/>
    <s v="Brisbane"/>
    <d v="2024-06-10T00:00:00"/>
    <s v="Gdańsk"/>
    <s v="Taksim-pol"/>
    <s v="Dobinsons Spring &amp; Suspension - Australia_x000a_58 Hollingsworth Street_x000a_North Rockhampton QLD 4701"/>
    <s v="-"/>
    <s v="-"/>
    <s v="-"/>
    <s v="OFR BRISBANE - HKG - GDAŃSK : 187 USD WM * 12,01 cbm = 2245,87 USD THC 20 USD WM *12,01 cbm = 240,20 USD DOC 20 USD ODPRAWA 250 PLN TRANSPORT GDN &gt; DŁUGOŁEKA ( AUTO BEZ WINDY) : 2200 PLN  _x000a__x000a_TOTAL: 2506,07 USD + 2450 PLN "/>
    <s v="-"/>
    <s v="-"/>
    <n v="2200.46"/>
    <x v="9"/>
    <x v="0"/>
  </r>
  <r>
    <s v="ZL007/04/24"/>
    <s v="Import"/>
    <x v="35"/>
    <s v="PFC05622 "/>
    <s v="-"/>
    <s v="-"/>
    <x v="1"/>
    <n v="33"/>
    <s v="package"/>
    <n v="273.10000000000002"/>
    <n v="3.2"/>
    <s v="-"/>
    <x v="4"/>
    <d v="2024-04-16T00:00:00"/>
    <s v="Shanghai"/>
    <d v="2024-05-21T00:00:00"/>
    <s v="Gdańsk"/>
    <s v="Agencja ??"/>
    <s v="WENZHOU SHENGYI IMP&amp;EXP CO.,LTD. (A)"/>
    <s v="ANITA MICHALCZYK Decoratorniapl"/>
    <s v="-"/>
    <s v="Mr. Fengy _x000a_Tel: +86-21-63930701 _x000a_E-mail: swin@jiyida-logistics.com"/>
    <s v="EXW Shanghai: 380 USD_x000a_OFR SHNAGHAI – GDANSK : 90 USD WM *3,2 CBM = 288 USD _x000a_THC 20 USD WM * 3,2CBM = 64 USD _x000a_DOC 30 USD_x000a_ODPRAWA 250 PLN _x000a_TRANSPORT GDN &gt; Podciernie 21 05-319 Cegłów: 850 PLN _x000a__x000a_TOTAL : 762 USD + 1100 PLN "/>
    <s v="EXW Shanghai: 280 USD"/>
    <s v="-"/>
    <n v="1001.72"/>
    <x v="1"/>
    <x v="0"/>
  </r>
  <r>
    <s v="ZL040/04/24"/>
    <s v="Import"/>
    <x v="6"/>
    <s v="PFC05721"/>
    <s v="-"/>
    <s v="EXW"/>
    <x v="1"/>
    <n v="30"/>
    <s v="ctn"/>
    <n v="345"/>
    <n v="1.85"/>
    <s v="-"/>
    <x v="4"/>
    <d v="2024-04-21T00:00:00"/>
    <s v="Shenzhen"/>
    <d v="2024-05-22T00:00:00"/>
    <s v="Gdańsk"/>
    <s v="AC Klienta - DTA "/>
    <s v="Nihon "/>
    <s v="Mkalam SECURITY SP. Z O.O. SP. K"/>
    <s v="-"/>
    <s v="-"/>
    <s v="EXW: 295 USD_x000a_OFR SHENZHEN - GDAŃSK 70 USD WM * 1,85 CBM = 129,50 USD _x000a_THC 15 USD WM * 1,85 CBM =27,75 USD _x000a_DOC 25 USD TRANSPORT GDN &gt; POZNAŃ : 400 PLN ( 100 USD)_x000a_TOTAL : 577,25 USD"/>
    <s v="EXW: 270 USD_x000a_55USD WM_x000a_20USD DOC_x000a_10USD WM"/>
    <s v="-"/>
    <n v="281.8"/>
    <x v="1"/>
    <x v="0"/>
  </r>
  <r>
    <s v="ZL092/03/24 -sprawdz_x000a_ZL122/03/24"/>
    <s v="Import"/>
    <x v="15"/>
    <s v="RO: 0174462 TXG/GDY/2403217"/>
    <s v="-"/>
    <s v="FOB"/>
    <x v="1"/>
    <n v="3"/>
    <s v="plt"/>
    <n v="2588.67"/>
    <n v="4.8099999999999996"/>
    <s v="NYKU8049346"/>
    <x v="3"/>
    <d v="2024-04-12T00:00:00"/>
    <s v="Kaoshiung"/>
    <d v="2024-06-06T00:00:00"/>
    <s v="Gdansk"/>
    <s v="Taksim-pol"/>
    <s v="-"/>
    <s v="-"/>
    <s v="-"/>
    <s v="-"/>
    <s v="FOB KAOHSIUNG - GDAŃSK : 99 USD WM * 5,175 CBM = 512,32 USD THC 20 USD WM * 5,175 CBM = 103,50 USD DOC 27 USD per B/L ODPRAWA 250 PLN TRANSPORT GDN &gt; CHĘCINY 26-060 : 1300 PLN _x000a__x000a_TOTAL : 642,82 USD = 1550 PLN "/>
    <s v="73 USD WM"/>
    <s v="-"/>
    <n v="1000"/>
    <x v="9"/>
    <x v="0"/>
  </r>
  <r>
    <s v="ZL234/03/24"/>
    <s v="Import"/>
    <x v="5"/>
    <s v="Friendly 0175975"/>
    <s v="-"/>
    <s v="-"/>
    <x v="1"/>
    <n v="42"/>
    <s v="ctn"/>
    <n v="790"/>
    <n v="1.33"/>
    <s v="-"/>
    <x v="3"/>
    <d v="2024-04-10T00:00:00"/>
    <s v="Kaoshiung"/>
    <d v="2024-06-07T00:00:00"/>
    <s v="Gdansk"/>
    <s v="Taksim-pol"/>
    <s v="-"/>
    <s v="-"/>
    <s v="-"/>
    <s v="-"/>
    <s v="EXW TAIWAN: 500 USD _x000a_PALETYZACJA 150 USD per paleta_x000a_OFR KAOHSIUNG – GDAŃSK : 110 USD WM *2,496 CBM = 274,56 USD_x000a_THC 25 USD WM *2,496CBM= 62,40 USD_x000a_DOC 25 USD _x000a_ODPRAWA 250 PLN_x000a_TRANSPORT GDN – WAW: 550 PLN                           _x000a__x000a_TOTAL : 1011,96 USD + 800 PLN  // do tego dorzucić jeszcze te 150 USD za lotnika ? "/>
    <s v="-"/>
    <s v="-"/>
    <n v="1371.5"/>
    <x v="9"/>
    <x v="0"/>
  </r>
  <r>
    <s v="ZL209/02/24"/>
    <s v="Import"/>
    <x v="1"/>
    <s v="3x20DV"/>
    <s v="-"/>
    <s v="FOB"/>
    <x v="0"/>
    <n v="3"/>
    <s v="20DV"/>
    <s v="-"/>
    <n v="3"/>
    <s v="-"/>
    <x v="4"/>
    <d v="2024-04-17T00:00:00"/>
    <s v="Mundra"/>
    <d v="2024-05-29T00:00:00"/>
    <s v="Gdynia"/>
    <s v="-"/>
    <s v="-"/>
    <s v="-"/>
    <s v="-"/>
    <s v="-"/>
    <s v="-"/>
    <s v="-"/>
    <s v="-"/>
    <n v="3296.1"/>
    <x v="1"/>
    <x v="0"/>
  </r>
  <r>
    <s v="ZL184/03/24"/>
    <s v="Import"/>
    <x v="7"/>
    <s v="[RS18/3] SZSE24032516 238110558 "/>
    <s v="MSK"/>
    <s v="FOB"/>
    <x v="0"/>
    <n v="2"/>
    <s v="20DV"/>
    <s v="-"/>
    <n v="2"/>
    <s v="-"/>
    <x v="4"/>
    <d v="2024-04-25T00:00:00"/>
    <s v="Ningbo"/>
    <d v="2024-06-07T00:00:00"/>
    <s v="Gdańsk"/>
    <s v="AC Klienta - Taksim-pol"/>
    <s v="Shaoxing Xieli Fire Safety Equipment Co., Ltd"/>
    <s v="-"/>
    <s v="Commodity: EMPTY CYLINDERS _x000a_2X20GP/58.8CBM/48520KGS/4384PKGS/Stuffing date:28th.Mar/FOB Ningbo to Gdansk"/>
    <s v="-"/>
    <s v="OFR NINGBO – GDAŃSK 20DV : 1875 USD per container_x000a_THC 205 EUR per container_x000a_DOC 55 EUR per container_x000a_ISPS 25 EUR per container _x000a_TRANSPORT GDN &gt; BYTOM 20DV ( 24,5) : 3125 PLN per container"/>
    <s v="O/F: USD1625/20GP "/>
    <s v="-"/>
    <n v="2703.92"/>
    <x v="9"/>
    <x v="0"/>
  </r>
  <r>
    <s v="ZL012/04/24"/>
    <s v="Import"/>
    <x v="37"/>
    <s v="[RS1/4] SZSE24040201 238162423 "/>
    <s v="MSK"/>
    <s v="FOB"/>
    <x v="0"/>
    <n v="1"/>
    <s v="20DV"/>
    <n v="8978"/>
    <n v="1"/>
    <s v="MSKU2744368"/>
    <x v="4"/>
    <d v="2024-04-24T00:00:00"/>
    <s v="Ningbo"/>
    <d v="2024-06-07T00:00:00"/>
    <s v="Gdańsk"/>
    <s v="-"/>
    <s v="ZHEJIANG ACCEL TECHNOLOGY CO., LTD._x000a_NR. 204-206, BLDG 9, KAITAI AUTO CENTER, #18 TONGQU RD, QUZHOU, ZHEJIANG CHINA_x000a_OSOBA KONTAKTOWA: ZOE, TEL. 0086570 8880109, e-mail: zoe.zhan@accel.cc"/>
    <s v="ELPROMET RADOSLAW KACZMARCZYK"/>
    <s v="Commodity: CABLE TIE_x000a_1X20GP/28.09CBM/8978KGS/458CTNS/CRD:4th.Apr/FOB Ningbo to Gdansk"/>
    <s v="-"/>
    <s v="OFR NINGBO – GDAŃSK 20DV: 1700 USD _x000a_THC 205 EUR_x000a_DOC 55 EUR_x000a_ISPS 25 EUR_x000a_TRANSPORT 1900 PLN_x000a_ _x000a_TOTAL : 2485 USD "/>
    <s v="USD1625/20GP"/>
    <s v="-"/>
    <n v="550.34"/>
    <x v="9"/>
    <x v="0"/>
  </r>
  <r>
    <s v="ZL015/04/24"/>
    <s v="Import"/>
    <x v="11"/>
    <s v="RO: 177720"/>
    <s v="-"/>
    <s v="-"/>
    <x v="1"/>
    <n v="6"/>
    <s v="plt"/>
    <n v="2706.68"/>
    <n v="3"/>
    <s v="-"/>
    <x v="4"/>
    <d v="2024-04-13T00:00:00"/>
    <s v="Busan"/>
    <d v="2024-06-05T00:00:00"/>
    <s v="Gdańsk"/>
    <s v="AC Klienta - DTA "/>
    <s v="-"/>
    <s v="-"/>
    <s v="-"/>
    <s v="-"/>
    <s v="OFR BUSAN – GDAŃSK 65 USD WM * 2,7 = 183,60 USD _x000a_THC 20 USD WM *2,7 = 54 USD _x000a_DOC 25 USDdok _x000a_TRANSPORT GDN &gt; PŁOCK : 1200 PLN _x000a_ _x000a_TOTAL : 262,60 USD + 1420 PLN "/>
    <s v="R3964574"/>
    <s v="-"/>
    <n v="119.92"/>
    <x v="9"/>
    <x v="0"/>
  </r>
  <r>
    <s v="ZL207/02/24"/>
    <s v="Import"/>
    <x v="21"/>
    <s v="[RS17/3] / SZSE24032514 / 237492128C   S:EVERGREAT INDUSTRIES /C:Loksfop"/>
    <s v="-"/>
    <s v="FOB"/>
    <x v="0"/>
    <n v="1"/>
    <s v="40HC"/>
    <s v="-"/>
    <n v="2"/>
    <s v="-"/>
    <x v="4"/>
    <d v="2024-04-14T00:00:00"/>
    <s v="Qingdao"/>
    <d v="2024-06-07T00:00:00"/>
    <s v="Gdańsk"/>
    <s v="AC Klienta - Complex SAD"/>
    <s v="QINGDAO EVERGREAT INDUSTRIES CO., LTD_x000a_ADD:CHAOYANGSHAN ROAD,HUANGDAO DISTRICT,QINGDAO,CHINA_x000a_Email: oceanjk@163.com     Contact person:ocean zhao                                                       _x000a_Wechat/WhatsApp:008613863918122"/>
    <s v="Loksfop Jacek Lisinski"/>
    <s v="Commodity: TIRES_x000a_1X40HQ/68CBM/10000KGS/CRD:25th.Mar/FOB Qingdao to Gdansk"/>
    <s v="-"/>
    <s v="OFR QINGDAO -GDANSK 40HC : 3300 USD per container _x000a_THC 255 EUR per container_x000a_DOC 55 EUR per container_x000a_ISPS 25 EUR per container_x000a_ODPRAWA 250 PLN_x000a_TRANSPORT GDN &gt; TORUŃ 40HC : 1900 PLN per container"/>
    <s v="3100 USD"/>
    <s v="-"/>
    <n v="2767.34"/>
    <x v="9"/>
    <x v="0"/>
  </r>
  <r>
    <s v="ZL131/03/24"/>
    <s v="Import"/>
    <x v="7"/>
    <s v="[RS3/4] SZSE24040913  238201163 "/>
    <s v="-"/>
    <s v="FOB"/>
    <x v="0"/>
    <n v="1"/>
    <s v="20DV"/>
    <n v="14750"/>
    <n v="1"/>
    <s v="-"/>
    <x v="4"/>
    <d v="2024-04-23T00:00:00"/>
    <s v="Qingdao"/>
    <d v="2024-06-07T00:00:00"/>
    <s v="Gdańsk"/>
    <s v="AC Klienta - Taksim-pol"/>
    <s v="-"/>
    <s v="-"/>
    <s v="14750KGS_x0009_27.9CBM"/>
    <s v="Richard"/>
    <s v="KONSOLIDACJA CHINY : 150 USD_x000a_O/F: USD1720/20GP via MSK_x000a_ETD: 31st.Mar with SI cut off date 26th.Mar_x000a_ETA: 24th.Mar_x000a_THC 205 EUR_x000a_DOC 55 EUR_x000a_ISPS 25 EUR_x000a_ _x000a_TRANSPORT GDN &gt; BYTOM 20DV : 2950 PLN "/>
    <s v="-"/>
    <s v="-"/>
    <n v="2070.46"/>
    <x v="9"/>
    <x v="0"/>
  </r>
  <r>
    <s v="ZL010/04/24"/>
    <s v="Import"/>
    <x v="14"/>
    <s v="[RS4/4] SZSE24040926 238202425 "/>
    <s v="-"/>
    <s v="FOB"/>
    <x v="0"/>
    <n v="1"/>
    <s v="20DV"/>
    <s v="-"/>
    <n v="1"/>
    <s v="-"/>
    <x v="4"/>
    <d v="2024-04-25T00:00:00"/>
    <s v="Ningbo"/>
    <d v="2024-06-07T00:00:00"/>
    <s v="Gdańsk"/>
    <s v="Tranzyt do Chrzanowa"/>
    <s v="ZHEJIANG NEW SORL AUTO PARTS CO.,LTD"/>
    <s v="SSK AK KOLMAN SP.J."/>
    <s v="Commodity: AUTO PARTS_x000a_1X20GP/28.03CBM/12000KGS/634CTNS/CRD:12th.Apr/FOB Ningbo to Gdansk"/>
    <s v="-"/>
    <s v="-"/>
    <s v="-"/>
    <s v="-"/>
    <n v="2612.2800000000002"/>
    <x v="9"/>
    <x v="0"/>
  </r>
  <r>
    <s v="ZL047/04/24"/>
    <s v="Import"/>
    <x v="7"/>
    <s v="[RS7/4] SZSE24041502 238201338 "/>
    <s v="-"/>
    <s v="FOB"/>
    <x v="0"/>
    <n v="1"/>
    <s v="20DV"/>
    <s v="-"/>
    <n v="1"/>
    <s v="-"/>
    <x v="4"/>
    <d v="2024-04-23T00:00:00"/>
    <s v="Shanghai"/>
    <d v="2024-06-07T00:00:00"/>
    <s v="Gdańsk"/>
    <s v="AC Klienta - Taksim-pol"/>
    <s v="CHANGZHOU LONGREN MECHANICAL &amp; ELECTRICAL CO. LTD.(Main shipper)_x000a_Longren + Nantong + Pujiang"/>
    <s v="Tedlew"/>
    <s v="Commodity: WELDING PARTS _x000a_1X20GP/18.3CBM/5870KGS/408PKGS/CRD:Ready/FOB Shanghai to Gdansk"/>
    <s v="Richard"/>
    <s v="OFR SHANGHAI – GDAŃSK 20DV :  1750 USD _x000a_THC 205 EUR_x000a_DOC 55 EUR_x000a_ISPS 25 EUR_x000a_ _x000a_TRANSPORT GDN &gt; BYTOM 20DV : 2950 PLN "/>
    <s v="-"/>
    <s v="-"/>
    <n v="828.35"/>
    <x v="9"/>
    <x v="0"/>
  </r>
  <r>
    <s v="ZL157/03/24"/>
    <s v="Import"/>
    <x v="38"/>
    <s v="[RS2/4] SZSE24040310 238113641"/>
    <s v="-"/>
    <s v="FOB"/>
    <x v="0"/>
    <n v="2"/>
    <s v="20DV"/>
    <s v="-"/>
    <n v="2"/>
    <s v="-"/>
    <x v="4"/>
    <d v="2024-04-23T00:00:00"/>
    <s v="Xingang"/>
    <d v="2024-06-14T00:00:00"/>
    <s v="Gdańsk"/>
    <s v="-"/>
    <s v="Email: sales23@topko.com _x000a_Tel/WeChat/Whatsapp:: 86 13292318821 _x000a_Skype: Topko-sales2 _x000a_TOPKO PRODUCT GROUP LTD _x000a_Add: RM 6G, 2981 Dongfang Road, Shanghai , 200125, China _x000a_Contact person: Jim Li "/>
    <s v="DRGLASS"/>
    <s v="Commodity: Dumbells_x000a_2X20GP/61.13CBM/50996.95KGS/2185PKGS/CRD:Ready/FOB Xingang to Gdansk"/>
    <s v="-"/>
    <s v="OFR SHANGHAI – GDAŃSK : 1825 USD/ 20DV per container_x000a_THC 205 EUR per container_x000a_DOC 55 EUR per container_x000a_ISPS 25 EUR per container_x000a_ODPRAWA 250 PLN_x000a_TRANSPORT GDN &gt; WIELUŃ 98-300; 3400PLN ( 20DV - 25 TON ) "/>
    <s v="O/F: USD1700/20GP via MSC"/>
    <s v="-"/>
    <n v="1670.91"/>
    <x v="9"/>
    <x v="0"/>
  </r>
  <r>
    <s v="ZL093/01/24"/>
    <s v="Import"/>
    <x v="15"/>
    <s v="RO: 0166481 SYD/HKG/0068206 BNE/HKG/03844"/>
    <s v="-"/>
    <s v="FOB"/>
    <x v="1"/>
    <n v="1"/>
    <s v="plt"/>
    <n v="650"/>
    <n v="1.2010000000000001"/>
    <s v="FFAU3093062"/>
    <x v="3"/>
    <d v="2024-04-06T00:00:00"/>
    <s v="Brisbane"/>
    <s v="-"/>
    <s v="Gdańsk"/>
    <s v="Taksim-pol"/>
    <s v="Dobinsons Spring &amp; Suspension - Australia_x000a_58 Hollingsworth Street_x000a_North Rockhampton QLD 4701"/>
    <s v="-"/>
    <s v="-"/>
    <s v="-"/>
    <s v="FOB BRISBANE via HKG to GDANSK : 207 USD WM_x000a_THC 20 USD WM _x000a_DOC 20 USD_x000a_ODPRAWA 220 PLN TRANSPORT GDN &gt; BILCZA - auto z windą: 475 PLN"/>
    <s v="-"/>
    <s v="-"/>
    <n v="450"/>
    <x v="2"/>
    <x v="1"/>
  </r>
  <r>
    <s v="ZL087/03/24"/>
    <s v="Import"/>
    <x v="39"/>
    <s v="[RS13/3] SZSE24031204 237033022 "/>
    <s v="Maersk"/>
    <s v="EXW Shaoxing "/>
    <x v="0"/>
    <n v="1"/>
    <s v="40HC"/>
    <s v="-"/>
    <n v="2"/>
    <s v="-"/>
    <x v="4"/>
    <d v="2024-04-22T00:00:00"/>
    <s v="Ningbo"/>
    <d v="2024-06-13T00:00:00"/>
    <s v="HAMBURG"/>
    <s v="AC Klienta"/>
    <s v="ShenZhen Ju Wei Trading limited company"/>
    <s v="MEMFIS SPÓŁKA Z OGRANICZONĄ ODPOWIEDZIALNOŚCIĄ    "/>
    <s v="Commodity: Coat Hanger_x000a_1X40HQ/68CBM/12000KGS/584CTNS=7008PCS/CRD:Ready/EXW Shaoxing to Hamburg via Ningbo"/>
    <s v="EXW Cost: USD1100/40HQ_x000a_OFR MAIN PORTS CHINA – HAMBURG: 2900 USD _x000a_THC 285 EUR_x000a_DOC 75 EUR_x000a_ISPS 35 EUR_x000a_TRANSPORT HAMBURG – ZACZERNIE : 1900 EUR ( do 15 ton) "/>
    <s v="USD2700/40HQ+EXW Cost: USD900/40HQ"/>
    <s v="2700 USD"/>
    <s v="-"/>
    <n v="1483.31"/>
    <x v="9"/>
    <x v="0"/>
  </r>
  <r>
    <s v="ZL034/04/24"/>
    <s v="Import"/>
    <x v="3"/>
    <s v="[RS5/4] 40HC from CARPET to PLATINUM"/>
    <s v="-"/>
    <s v="EXW"/>
    <x v="0"/>
    <n v="1"/>
    <s v="40HC"/>
    <s v="-"/>
    <n v="2"/>
    <s v="-"/>
    <x v="4"/>
    <d v="2024-04-29T00:00:00"/>
    <s v="Tianjin"/>
    <s v="-"/>
    <s v="Gdańsk"/>
    <s v="AC Porath"/>
    <s v="Tianjin Maya Carpet Co., LTD."/>
    <s v="Propertinium Poland sp. z o. o."/>
    <s v="Commodity: Carpet_x000a_1X40HQ/68CBM/11000KGS/500CTNS/CRD:10 Days later/EXW Wuqing to Gdansk via Xingang port"/>
    <s v="-"/>
    <s v="EXW: 1050 USD _x000a_OFR XINGANG - GDANSK 40HC: 2900 USD _x000a_THC: 290 USD_x000a_ODPRAWA: 70 USD _x000a_TRANSPORT POZNAN 2500 PLN"/>
    <s v="USD2670/40HQ+EXW cost: USD820/40HQ."/>
    <s v="-"/>
    <n v="1914.11"/>
    <x v="2"/>
    <x v="1"/>
  </r>
  <r>
    <s v="ZL125/03/24"/>
    <s v="Import"/>
    <x v="32"/>
    <s v="[RS6/4] 40HC /S:LIUTAIMATTRESS /C:VICT "/>
    <s v="-"/>
    <s v="-"/>
    <x v="0"/>
    <n v="1"/>
    <s v="40HC"/>
    <s v="-"/>
    <n v="2"/>
    <s v="-"/>
    <x v="4"/>
    <d v="2024-04-29T00:00:00"/>
    <s v="Tianjin"/>
    <s v="-"/>
    <s v="Gdansk"/>
    <s v="33a ENIGMA"/>
    <s v="LANGFANG LIUTAI FURNITURE CO.,LTD._x000a_LIUTAIMATTRESS lisa@liutaimattress.com "/>
    <s v="VICT SP. Z O. O"/>
    <s v="Commodity: BED_x000a_1X40HQ/68CBM/10000KGS/330CTNS/CRD:23rd.Apr/FOB Xingang to Gdansk"/>
    <s v="-"/>
    <s v="-"/>
    <s v="-"/>
    <s v="-"/>
    <n v="3382.49"/>
    <x v="2"/>
    <x v="1"/>
  </r>
  <r>
    <s v="ZL046/04/24"/>
    <s v="Import"/>
    <x v="9"/>
    <s v="PFC06335"/>
    <s v="-"/>
    <s v="FOB"/>
    <x v="1"/>
    <s v="-"/>
    <n v="5085"/>
    <n v="12.66"/>
    <s v="-"/>
    <s v="-"/>
    <x v="4"/>
    <d v="2024-04-30T00:00:00"/>
    <s v="Ningbo"/>
    <s v="-"/>
    <s v="Gdańsk"/>
    <s v="Taksim-pol"/>
    <s v="-"/>
    <s v="-"/>
    <s v="-"/>
    <s v="-"/>
    <s v="OFR NINGBO – GDANSK : 60 USD WM *12,66 CBM = 759,60 USD _x000a_THC 20 USD WM *12,66CBM  = 253,20 USD _x000a_DOC 25 USD _x000a_ODPRAWA 220 PLN_x000a_TRANSPORT GDN &gt; BYDGOSZCZ: 1300 PLN _x000a__x000a_TOTAL : 1037,80 USD + 1520 PLN "/>
    <s v="OFR 53 USD WM"/>
    <s v="-"/>
    <n v="1112.75"/>
    <x v="2"/>
    <x v="1"/>
  </r>
  <r>
    <s v="-"/>
    <s v="Import"/>
    <x v="19"/>
    <s v="RAIL cargo for Nensell/Oferta EXW 40'hc kolej"/>
    <s v="-"/>
    <s v="EXW"/>
    <x v="0"/>
    <n v="1"/>
    <s v="40HC"/>
    <s v="-"/>
    <s v="-"/>
    <s v="-"/>
    <x v="5"/>
    <s v="-"/>
    <s v="Guangzhou"/>
    <s v="-"/>
    <s v="Warszawa"/>
    <s v="33a"/>
    <s v="-"/>
    <s v="-"/>
    <s v="-"/>
    <s v="-"/>
    <s v="-"/>
    <s v="Koszty lokalne Guangzhou: _x0009_Jednostka _x0009_40'HC _x0009_Waluta _x000a_pick up _x0009_kontener _x0009_2000 _x0009_USD _x000a__x0009__x0009__x0009__x000a_Załadunek _x0009_Rozładunek _x0009_40'HC _x0009_Waluta _x000a_Guangzhou _x0009_Warszawa _x0009_7300 _x0009_USD _x000a__x0009__x0009__x0009__x000a_Koszty lokalne Warszawa: _x0009_Jednostka _x0009_40'HC _x0009_Waluta _x000a_Handling fee _x0009_kontener _x0009_50 _x0009_USD _x000a__x0009__x0009__x0009__x000a__x0009_Szacunkowy koszt transportu: _x000a__x0009_9350 _x0009_USD "/>
    <s v="-"/>
    <s v="-"/>
    <x v="2"/>
    <x v="1"/>
  </r>
  <r>
    <s v="ZL047/03/24"/>
    <s v="Import"/>
    <x v="30"/>
    <s v="Odprawa + odwoz "/>
    <s v="-"/>
    <s v="-"/>
    <x v="0"/>
    <n v="1"/>
    <s v="40HC"/>
    <s v="-"/>
    <s v="-"/>
    <s v="-"/>
    <x v="5"/>
    <s v="-"/>
    <s v="-"/>
    <s v="-"/>
    <s v="HAMBURG"/>
    <s v="-"/>
    <s v="-"/>
    <s v="-"/>
    <s v="-"/>
    <s v="-"/>
    <s v="-"/>
    <s v="-"/>
    <s v="-"/>
    <s v="-"/>
    <x v="2"/>
    <x v="1"/>
  </r>
  <r>
    <s v="ZL170/03/24"/>
    <s v="Import"/>
    <x v="15"/>
    <s v="0175335 Import USA LCL Przyjalem pod  RO 175372"/>
    <s v="-"/>
    <s v="EXW ROCKFORD"/>
    <x v="1"/>
    <n v="1"/>
    <s v="plt"/>
    <n v="600"/>
    <n v="1.887"/>
    <s v="-"/>
    <x v="5"/>
    <s v="-"/>
    <s v="Chicago"/>
    <s v="-"/>
    <s v="Gdańsk"/>
    <s v="Taksim-pol"/>
    <s v="-"/>
    <s v="-"/>
    <s v="-"/>
    <s v="-"/>
    <s v="EXW  Rockford, IL 61104 : 575 USD_x000a_ _x000a_OFR CHICAGO - GDYNIA : 98 USD WM * 2,257 CBM = 221,18 USD _x000a_THC 35 USD WM*2,257 CBM =78,99 USD_x000a_DOC 25 USD _x000a_ODPRAWA 250 PLN _x000a_TRANSPORT GDN &gt; BILCZA :650 PLN "/>
    <s v="-"/>
    <s v="-"/>
    <s v="-"/>
    <x v="2"/>
    <x v="1"/>
  </r>
  <r>
    <s v="ZL126/03/24"/>
    <s v="Import"/>
    <x v="32"/>
    <s v="40HC z SHANGHAI / NINGBO– GDANSK S/ANHUI "/>
    <s v="-"/>
    <s v="-"/>
    <x v="0"/>
    <n v="1"/>
    <s v="40HC"/>
    <s v="-"/>
    <n v="2"/>
    <s v="-"/>
    <x v="5"/>
    <s v="-"/>
    <s v="Shanghai"/>
    <s v="-"/>
    <s v="Gdańsk"/>
    <s v="33a ENIGMA"/>
    <s v="Anhui Willsoon Furniture Co.,Ltd_x000a_Add.: Baishijian Rd., Langxi Economic Development Zone, Anhui, China_x000a_ _x000a_Mobile:+86 181 3025 3152/+86 187 5631 2917_x000a_Wechat/ Whatsapp/Facebook: +86 187 5631 2917_x000a_Skype ：+86 181 3025 3152_x000a_Email: carrie@willsoonfurn.com"/>
    <s v="VICT SP. Z O. O"/>
    <s v="-"/>
    <s v="-"/>
    <s v="-"/>
    <s v="-"/>
    <s v="-"/>
    <s v="-"/>
    <x v="2"/>
    <x v="1"/>
  </r>
  <r>
    <s v="ZL187/03/24"/>
    <s v="Import"/>
    <x v="25"/>
    <s v="-"/>
    <s v="-"/>
    <s v="-"/>
    <x v="0"/>
    <n v="1"/>
    <s v="20DV"/>
    <s v="-"/>
    <s v="-"/>
    <s v="-"/>
    <x v="5"/>
    <s v="-"/>
    <s v="-"/>
    <s v="-"/>
    <s v="Gdańsk"/>
    <s v="-"/>
    <s v="-"/>
    <s v="-"/>
    <s v="-"/>
    <s v="-"/>
    <s v="OFR NINGBO – GDANSK : 1450 USD per 20 DV _x000a_THC 205 EUR_x000a_DOC 55 EUR_x000a_ISPS 25 EUR_x000a_ODPRAWA 250 PLN _x000a_TRANSPORT kolej GDN&gt; Świnna Poręba 127a, 34-106 Mucharz 20 DV: 3500 PLN "/>
    <s v="-"/>
    <s v="-"/>
    <s v="-"/>
    <x v="2"/>
    <x v="1"/>
  </r>
  <r>
    <s v="ZL195/03/24"/>
    <s v="Import"/>
    <x v="40"/>
    <s v="1x40HQ FOB Ningbo ETD 15.04"/>
    <s v="-"/>
    <s v="-"/>
    <x v="0"/>
    <n v="1"/>
    <s v="40HC"/>
    <s v="-"/>
    <n v="2"/>
    <s v="-"/>
    <x v="5"/>
    <s v="-"/>
    <s v="Ningbo"/>
    <s v="-"/>
    <s v="Gdańsk"/>
    <s v="-"/>
    <s v="-"/>
    <s v="-"/>
    <s v="-"/>
    <s v="-"/>
    <s v="-"/>
    <s v="-"/>
    <s v="-"/>
    <s v="-"/>
    <x v="2"/>
    <x v="1"/>
  </r>
  <r>
    <s v="-"/>
    <s v="Import"/>
    <x v="27"/>
    <s v="PFC05103"/>
    <s v="-"/>
    <s v="-"/>
    <x v="1"/>
    <s v="-"/>
    <s v="-"/>
    <s v="-"/>
    <s v="-"/>
    <s v="-"/>
    <x v="5"/>
    <d v="2024-04-16T00:00:00"/>
    <s v="Ningbo"/>
    <s v="-"/>
    <s v="Gdańsk"/>
    <s v="-"/>
    <s v="-"/>
    <s v="-"/>
    <s v="-"/>
    <s v="-"/>
    <s v="OFR NINGBO – GDAŃSK 66 USD WM _x000a_THC 17 USD WM _x000a_DOC 25 USD"/>
    <s v="-"/>
    <s v="-"/>
    <s v="-"/>
    <x v="2"/>
    <x v="1"/>
  </r>
  <r>
    <s v="ZL243/03/24"/>
    <s v="Import"/>
    <x v="3"/>
    <s v="RAIL 33 cartons SMLXA24042044 "/>
    <s v="-"/>
    <s v="-"/>
    <x v="1"/>
    <n v="33"/>
    <s v="ctn"/>
    <n v="429.9"/>
    <n v="5.65"/>
    <s v="-"/>
    <x v="3"/>
    <d v="2024-04-16T00:00:00"/>
    <s v="Shenzhen"/>
    <d v="2024-04-30T00:00:00"/>
    <s v="Małaszewice"/>
    <s v="-"/>
    <s v="SHENZHEN BELONG TECHNOLOGY LIMITED"/>
    <s v="NELAR NATALIA MISZTAL _x000a_RUDA HUTA 22-110 _x000a_NIP: 5632342944"/>
    <s v="-"/>
    <s v="-"/>
    <s v="-"/>
    <s v="-"/>
    <s v="-"/>
    <n v="1283.3800000000001"/>
    <x v="8"/>
    <x v="0"/>
  </r>
  <r>
    <s v="ZL035/04/24"/>
    <s v="Import"/>
    <x v="19"/>
    <s v="LCL RAIL for Nensell/S:YONGKANG NIHAO INDUSTRY AND TRADE CO.,LTD YONGKANG CITY ZHEJIANG CHINA//Tel: +86 13566751386 //15,5CBM -4000KG//"/>
    <s v="-"/>
    <s v="EXW"/>
    <x v="1"/>
    <n v="125"/>
    <s v="ctn"/>
    <s v="-"/>
    <n v="15.5"/>
    <s v="-"/>
    <x v="5"/>
    <s v="-"/>
    <s v="-"/>
    <s v="-"/>
    <s v="Małaszewice"/>
    <s v="-"/>
    <s v="-"/>
    <s v="-"/>
    <s v="-"/>
    <s v="-"/>
    <s v="EXW CHARGES: USD 495_x000a_Rail rate: USD 155 /CBM * 15,5CBM = 2402,50 USD_x000a_Odprawa 300 PLN _x000a_Dostawa Radomsko: 1950 PLN"/>
    <s v="-"/>
    <s v="-"/>
    <s v="-"/>
    <x v="2"/>
    <x v="1"/>
  </r>
  <r>
    <s v="ZL192/03/24"/>
    <s v="Import"/>
    <x v="41"/>
    <s v="-"/>
    <s v="-"/>
    <s v="-"/>
    <x v="0"/>
    <n v="2"/>
    <s v="40HC + 20DV"/>
    <s v="-"/>
    <s v="-"/>
    <s v="-"/>
    <x v="5"/>
    <s v="-"/>
    <s v="-"/>
    <s v="-"/>
    <s v="-"/>
    <s v="-"/>
    <s v="-"/>
    <s v="-"/>
    <s v="-"/>
    <s v="-"/>
    <s v="-"/>
    <s v="-"/>
    <s v="-"/>
    <s v="-"/>
    <x v="2"/>
    <x v="1"/>
  </r>
  <r>
    <s v="-"/>
    <s v="Import"/>
    <x v="42"/>
    <s v="-"/>
    <s v="-"/>
    <s v="EXW"/>
    <x v="1"/>
    <n v="8"/>
    <s v="package"/>
    <n v="1460"/>
    <n v="14.3"/>
    <s v="-"/>
    <x v="4"/>
    <d v="2024-04-23T00:00:00"/>
    <s v="Shenzhen"/>
    <d v="2024-06-06T00:00:00"/>
    <s v="Gdańsk"/>
    <s v="-"/>
    <s v="CHIMALL ELECTRONIC TECHNOLOGY CO.,LIMITED  "/>
    <s v="Perun Sylwia Reiss"/>
    <s v="-"/>
    <s v="-"/>
    <s v="-"/>
    <s v="-"/>
    <s v="-"/>
    <s v="-"/>
    <x v="9"/>
    <x v="0"/>
  </r>
  <r>
    <s v="-"/>
    <s v="Import"/>
    <x v="17"/>
    <s v="PFC06340"/>
    <s v="-"/>
    <s v="-"/>
    <x v="1"/>
    <n v="16"/>
    <s v="cases"/>
    <n v="680"/>
    <n v="2.83"/>
    <s v="-"/>
    <x v="5"/>
    <s v="-"/>
    <s v="Shenzhen"/>
    <s v="-"/>
    <s v="Warszawa"/>
    <s v="Taksim-pol"/>
    <s v="-"/>
    <s v="-"/>
    <s v="-"/>
    <s v="-"/>
    <s v="EXW: 825 USD_x000a_SZX---WAW    +500kg _x000a_1:200 net/net airfrieght:usd5.85/kg  by CA   ( szx--pek--fra--waw) -&gt; 3978 USD // TT 5-7 DNI _x000a_Lokalne w WAW:_x000a_Autko 600 PLN_x000a_Odprawa ostateczna w naszej AC 250 PLN"/>
    <s v="-"/>
    <s v="-"/>
    <s v="-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917D1-C328-417B-A46D-5C0B2813D9EF}" name="Tabela przestawna1" cacheId="4" applyNumberFormats="0" applyBorderFormats="0" applyFontFormats="0" applyPatternFormats="0" applyAlignmentFormats="0" applyWidthHeightFormats="1" dataCaption="Wartości" grandTotalCaption="Total:" updatedVersion="8" minRefreshableVersion="3" useAutoFormatting="1" itemPrintTitles="1" createdVersion="8" indent="0" outline="1" outlineData="1" multipleFieldFilters="0" rowHeaderCaption="Status of Order">
  <location ref="A3:B11" firstHeaderRow="1" firstDataRow="1" firstDataCol="1" rowPageCount="1" colPageCount="1"/>
  <pivotFields count="26">
    <pivotField dataField="1" showAll="0"/>
    <pivotField axis="axisPage" multipleItemSelectionAllowed="1" showAll="0">
      <items count="3">
        <item h="1" x="1"/>
        <item x="0"/>
        <item t="default"/>
      </items>
    </pivotField>
    <pivotField showAll="0"/>
    <pivotField showAll="0"/>
    <pivotField showAll="0"/>
    <pivotField showAll="0">
      <items count="9">
        <item x="2"/>
        <item x="1"/>
        <item x="5"/>
        <item x="7"/>
        <item x="6"/>
        <item x="4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8">
        <item x="4"/>
        <item x="0"/>
        <item x="1"/>
        <item x="3"/>
        <item x="5"/>
        <item x="2"/>
        <item x="6"/>
        <item t="default"/>
      </items>
    </pivotField>
    <pivotField showAll="0"/>
    <pivotField showAll="0"/>
    <pivotField showAll="0">
      <items count="79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0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6"/>
        <item x="44"/>
        <item x="47"/>
        <item x="48"/>
        <item x="50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45"/>
        <item x="64"/>
        <item x="1"/>
        <item x="65"/>
        <item x="66"/>
        <item x="71"/>
        <item x="76"/>
        <item x="67"/>
        <item x="72"/>
        <item x="68"/>
        <item x="69"/>
        <item x="73"/>
        <item x="74"/>
        <item x="75"/>
        <item x="70"/>
        <item x="7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" hier="-1"/>
  </pageFields>
  <dataFields count="1">
    <dataField name="Number of Orders" fld="0" subtotal="count" baseField="0" baseItem="0"/>
  </dataFields>
  <conditionalFormats count="1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2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46AEB-FCC3-4B7C-9F45-9D9F19E32E1C}" name="Tabela przestawna7" cacheId="21" applyNumberFormats="0" applyBorderFormats="0" applyFontFormats="0" applyPatternFormats="0" applyAlignmentFormats="0" applyWidthHeightFormats="1" dataCaption="Wartości" grandTotalCaption="Total" updatedVersion="8" minRefreshableVersion="3" useAutoFormatting="1" itemPrintTitles="1" createdVersion="8" indent="0" outline="1" outlineData="1" multipleFieldFilters="0" chartFormat="8" rowHeaderCaption="Customer Name">
  <location ref="A32:B53" firstHeaderRow="1" firstDataRow="1" firstDataCol="1" rowPageCount="1" colPageCount="1"/>
  <pivotFields count="28">
    <pivotField showAll="0"/>
    <pivotField showAll="0"/>
    <pivotField axis="axisRow" showAll="0" measureFilter="1" sortType="descending">
      <items count="87">
        <item m="1" x="66"/>
        <item m="1" x="64"/>
        <item m="1" x="78"/>
        <item m="1" x="72"/>
        <item m="1" x="51"/>
        <item m="1" x="68"/>
        <item m="1" x="63"/>
        <item m="1" x="58"/>
        <item m="1" x="79"/>
        <item m="1" x="50"/>
        <item m="1" x="84"/>
        <item m="1" x="55"/>
        <item m="1" x="54"/>
        <item m="1" x="62"/>
        <item m="1" x="75"/>
        <item m="1" x="77"/>
        <item m="1" x="61"/>
        <item m="1" x="76"/>
        <item m="1" x="82"/>
        <item m="1" x="69"/>
        <item m="1" x="83"/>
        <item m="1" x="71"/>
        <item m="1" x="65"/>
        <item m="1" x="80"/>
        <item m="1" x="49"/>
        <item m="1" x="73"/>
        <item m="1" x="56"/>
        <item m="1" x="46"/>
        <item m="1" x="70"/>
        <item m="1" x="74"/>
        <item m="1" x="60"/>
        <item m="1" x="67"/>
        <item m="1" x="81"/>
        <item m="1" x="52"/>
        <item m="1" x="44"/>
        <item m="1" x="57"/>
        <item m="1" x="48"/>
        <item m="1" x="47"/>
        <item m="1" x="59"/>
        <item x="36"/>
        <item m="1" x="45"/>
        <item m="1" x="43"/>
        <item m="1" x="53"/>
        <item m="1" x="85"/>
        <item x="1"/>
        <item x="2"/>
        <item x="4"/>
        <item x="5"/>
        <item x="6"/>
        <item x="9"/>
        <item x="10"/>
        <item x="11"/>
        <item x="12"/>
        <item x="13"/>
        <item x="15"/>
        <item x="16"/>
        <item x="17"/>
        <item x="18"/>
        <item x="19"/>
        <item x="21"/>
        <item x="23"/>
        <item x="24"/>
        <item x="8"/>
        <item x="25"/>
        <item x="26"/>
        <item x="28"/>
        <item x="30"/>
        <item x="33"/>
        <item x="34"/>
        <item x="35"/>
        <item x="29"/>
        <item x="0"/>
        <item x="3"/>
        <item x="7"/>
        <item x="14"/>
        <item x="20"/>
        <item x="22"/>
        <item x="27"/>
        <item x="31"/>
        <item x="32"/>
        <item x="37"/>
        <item x="38"/>
        <item x="39"/>
        <item x="40"/>
        <item x="41"/>
        <item x="4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">
        <item x="4"/>
        <item h="1" x="0"/>
        <item x="1"/>
        <item x="3"/>
        <item h="1" x="5"/>
        <item x="2"/>
        <item h="1"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21">
    <i>
      <x v="44"/>
    </i>
    <i>
      <x v="52"/>
    </i>
    <i>
      <x v="59"/>
    </i>
    <i>
      <x v="72"/>
    </i>
    <i>
      <x v="58"/>
    </i>
    <i>
      <x v="69"/>
    </i>
    <i>
      <x v="78"/>
    </i>
    <i>
      <x v="56"/>
    </i>
    <i>
      <x v="55"/>
    </i>
    <i>
      <x v="70"/>
    </i>
    <i>
      <x v="54"/>
    </i>
    <i>
      <x v="79"/>
    </i>
    <i>
      <x v="76"/>
    </i>
    <i>
      <x v="61"/>
    </i>
    <i>
      <x v="63"/>
    </i>
    <i>
      <x v="73"/>
    </i>
    <i>
      <x v="68"/>
    </i>
    <i>
      <x v="65"/>
    </i>
    <i>
      <x v="75"/>
    </i>
    <i>
      <x v="77"/>
    </i>
    <i t="grand">
      <x/>
    </i>
  </rowItems>
  <colItems count="1">
    <i/>
  </colItems>
  <pageFields count="1">
    <pageField fld="12" hier="-1"/>
  </pageFields>
  <dataFields count="1">
    <dataField name="Average order profitability " fld="25" subtotal="average" baseField="6" baseItem="0" numFmtId="2"/>
  </dataFields>
  <formats count="5">
    <format dxfId="108">
      <pivotArea field="6" type="button" dataOnly="0" labelOnly="1" outline="0"/>
    </format>
    <format dxfId="107">
      <pivotArea field="6" type="button" dataOnly="0" labelOnly="1" outline="0"/>
    </format>
    <format dxfId="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">
      <pivotArea dataOnly="0" labelOnly="1" outline="0" axis="axisValues" fieldPosition="0"/>
    </format>
    <format dxfId="104">
      <pivotArea field="2" type="button" dataOnly="0" labelOnly="1" outline="0" axis="axisRow" fieldPosition="0"/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40">
              <x v="0"/>
              <x v="1"/>
              <x v="2"/>
              <x v="3"/>
              <x v="4"/>
              <x v="5"/>
              <x v="6"/>
              <x v="8"/>
              <x v="9"/>
              <x v="10"/>
              <x v="11"/>
              <x v="12"/>
              <x v="13"/>
              <x v="14"/>
              <x v="15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6"/>
              <x v="37"/>
              <x v="38"/>
              <x v="39"/>
              <x v="40"/>
              <x v="41"/>
              <x v="42"/>
            </reference>
          </references>
        </pivotArea>
      </pivotAreas>
    </conditionalFormat>
  </conditionalFormat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8" showRowHeaders="1" showColHeaders="1" showRowStripes="0" showColStripes="0" showLastColumn="1"/>
  <filters count="1">
    <filter fld="2" type="count" evalOrder="-1" id="2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CC46A-53F1-44D2-B7CB-F96A3D6B00F1}" name="Tabela przestawna6" cacheId="21" applyNumberFormats="0" applyBorderFormats="0" applyFontFormats="0" applyPatternFormats="0" applyAlignmentFormats="0" applyWidthHeightFormats="1" dataCaption="Wartości" grandTotalCaption="Total" updatedVersion="8" minRefreshableVersion="3" useAutoFormatting="1" itemPrintTitles="1" createdVersion="8" indent="0" outline="1" outlineData="1" multipleFieldFilters="0" chartFormat="8" rowHeaderCaption="Statistics divided into FCL/LCL">
  <location ref="A16:B19" firstHeaderRow="1" firstDataRow="1" firstDataCol="1" rowPageCount="1" colPageCount="1"/>
  <pivotFields count="28"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">
        <item x="4"/>
        <item h="1" x="0"/>
        <item x="1"/>
        <item x="3"/>
        <item h="1" x="5"/>
        <item x="2"/>
        <item h="1"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pageFields count="1">
    <pageField fld="12" hier="-1"/>
  </pageFields>
  <dataFields count="1">
    <dataField name="Total Profit [PLN]" fld="25" baseField="6" baseItem="0"/>
  </dataFields>
  <formats count="3">
    <format dxfId="111">
      <pivotArea field="6" type="button" dataOnly="0" labelOnly="1" outline="0" axis="axisRow" fieldPosition="0"/>
    </format>
    <format dxfId="110">
      <pivotArea field="6" type="button" dataOnly="0" labelOnly="1" outline="0" axis="axisRow" fieldPosition="0"/>
    </format>
    <format dxfId="109">
      <pivotArea dataOnly="0" labelOnly="1"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6" count="2">
              <x v="0"/>
              <x v="1"/>
            </reference>
          </references>
        </pivotArea>
      </pivotAreas>
    </conditionalFormat>
  </conditional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72125-F022-4B68-831F-3D6B87924920}" name="Tabela przestawna1" cacheId="21" applyNumberFormats="0" applyBorderFormats="0" applyFontFormats="0" applyPatternFormats="0" applyAlignmentFormats="0" applyWidthHeightFormats="1" dataCaption="Wartości" updatedVersion="8" minRefreshableVersion="3" enableDrill="0" rowGrandTotals="0" itemPrintTitles="1" createdVersion="8" indent="0" outline="1" outlineData="1" multipleFieldFilters="0" chartFormat="20" rowHeaderCaption="">
  <location ref="A5:C18" firstHeaderRow="0" firstDataRow="1" firstDataCol="1" rowPageCount="3" colPageCount="1"/>
  <pivotFields count="28">
    <pivotField dataField="1" showAll="0"/>
    <pivotField showAll="0"/>
    <pivotField name="Wybierz klienta:" axis="axisPage" showAll="0">
      <items count="87">
        <item m="1" x="66"/>
        <item m="1" x="64"/>
        <item m="1" x="78"/>
        <item m="1" x="72"/>
        <item m="1" x="51"/>
        <item m="1" x="68"/>
        <item m="1" x="63"/>
        <item m="1" x="58"/>
        <item m="1" x="79"/>
        <item m="1" x="50"/>
        <item m="1" x="84"/>
        <item m="1" x="55"/>
        <item m="1" x="54"/>
        <item m="1" x="62"/>
        <item m="1" x="75"/>
        <item m="1" x="77"/>
        <item m="1" x="61"/>
        <item m="1" x="76"/>
        <item m="1" x="82"/>
        <item m="1" x="69"/>
        <item m="1" x="83"/>
        <item m="1" x="71"/>
        <item m="1" x="65"/>
        <item m="1" x="80"/>
        <item m="1" x="49"/>
        <item m="1" x="73"/>
        <item m="1" x="56"/>
        <item m="1" x="46"/>
        <item m="1" x="70"/>
        <item m="1" x="74"/>
        <item m="1" x="60"/>
        <item m="1" x="67"/>
        <item m="1" x="81"/>
        <item m="1" x="52"/>
        <item m="1" x="44"/>
        <item m="1" x="57"/>
        <item m="1" x="48"/>
        <item m="1" x="47"/>
        <item x="36"/>
        <item m="1" x="45"/>
        <item m="1" x="43"/>
        <item m="1" x="53"/>
        <item m="1" x="85"/>
        <item m="1" x="59"/>
        <item x="1"/>
        <item x="2"/>
        <item x="4"/>
        <item x="5"/>
        <item x="6"/>
        <item x="9"/>
        <item x="10"/>
        <item x="11"/>
        <item x="12"/>
        <item x="13"/>
        <item x="15"/>
        <item x="16"/>
        <item x="17"/>
        <item x="18"/>
        <item x="19"/>
        <item x="21"/>
        <item x="23"/>
        <item x="24"/>
        <item x="8"/>
        <item x="25"/>
        <item x="26"/>
        <item x="28"/>
        <item x="30"/>
        <item x="33"/>
        <item x="34"/>
        <item x="35"/>
        <item x="29"/>
        <item x="0"/>
        <item x="3"/>
        <item x="7"/>
        <item x="14"/>
        <item x="20"/>
        <item x="22"/>
        <item x="27"/>
        <item x="31"/>
        <item x="32"/>
        <item x="37"/>
        <item x="38"/>
        <item x="39"/>
        <item x="40"/>
        <item x="41"/>
        <item x="42"/>
        <item t="default"/>
      </items>
    </pivotField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">
        <item h="1" x="4"/>
        <item h="1" x="0"/>
        <item x="1"/>
        <item x="3"/>
        <item h="1" x="5"/>
        <item x="2"/>
        <item h="1" m="1" x="6"/>
        <item t="default"/>
      </items>
    </pivotField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1">
        <item x="6"/>
        <item x="7"/>
        <item x="0"/>
        <item x="8"/>
        <item x="1"/>
        <item x="9"/>
        <item x="3"/>
        <item x="4"/>
        <item x="5"/>
        <item x="2"/>
        <item t="default"/>
      </items>
    </pivotField>
    <pivotField axis="axisRow" showAll="0">
      <items count="4">
        <item x="2"/>
        <item x="0"/>
        <item x="1"/>
        <item t="default"/>
      </items>
    </pivotField>
  </pivotFields>
  <rowFields count="2">
    <field x="27"/>
    <field x="26"/>
  </rowFields>
  <rowItems count="13">
    <i>
      <x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 v="9"/>
    </i>
  </rowItems>
  <colFields count="1">
    <field x="-2"/>
  </colFields>
  <colItems count="2">
    <i>
      <x/>
    </i>
    <i i="1">
      <x v="1"/>
    </i>
  </colItems>
  <pageFields count="3">
    <pageField fld="2" hier="-1"/>
    <pageField fld="6" hier="-1"/>
    <pageField fld="12" hier="-1"/>
  </pageFields>
  <dataFields count="2">
    <dataField name="Total Profit" fld="25" baseField="6" baseItem="1"/>
    <dataField name="No orders" fld="0" subtotal="count" baseField="0" baseItem="0"/>
  </dataFields>
  <formats count="12"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27" type="button" dataOnly="0" labelOnly="1" outline="0" axis="axisRow" fieldPosition="0"/>
    </format>
    <format dxfId="83">
      <pivotArea dataOnly="0" labelOnly="1" grandRow="1" outline="0" fieldPosition="0"/>
    </format>
    <format dxfId="82">
      <pivotArea dataOnly="0" labelOnly="1" outline="0" axis="axisValues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27" type="button" dataOnly="0" labelOnly="1" outline="0" axis="axisRow" fieldPosition="0"/>
    </format>
    <format dxfId="78">
      <pivotArea dataOnly="0" labelOnly="1" fieldPosition="0">
        <references count="1">
          <reference field="27" count="1">
            <x v="1"/>
          </reference>
        </references>
      </pivotArea>
    </format>
    <format dxfId="77">
      <pivotArea dataOnly="0" labelOnly="1" grandRow="1" outline="0" fieldPosition="0"/>
    </format>
    <format dxfId="76">
      <pivotArea dataOnly="0" labelOnly="1" fieldPosition="0">
        <references count="2">
          <reference field="26" count="1">
            <x v="3"/>
          </reference>
          <reference field="27" count="1" selected="0">
            <x v="1"/>
          </reference>
        </references>
      </pivotArea>
    </format>
    <format dxfId="7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1"/>
          </reference>
          <reference field="27" count="1" selected="0">
            <x v="1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6" count="1" selected="0">
            <x v="4"/>
          </reference>
          <reference field="27" count="1" selected="0">
            <x v="1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1"/>
          </reference>
          <reference field="26" count="1" selected="0">
            <x v="8"/>
          </reference>
          <reference field="27" count="1" selected="0">
            <x v="0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1"/>
          </reference>
          <reference field="26" count="1" selected="0">
            <x v="0"/>
          </reference>
          <reference field="27" count="1" selected="0">
            <x v="1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1"/>
          </reference>
          <reference field="26" count="1" selected="0">
            <x v="1"/>
          </reference>
          <reference field="27" count="1" selected="0">
            <x v="1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1"/>
          </reference>
          <reference field="26" count="1" selected="0">
            <x v="2"/>
          </reference>
          <reference field="27" count="1" selected="0">
            <x v="1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1"/>
          </reference>
          <reference field="26" count="1" selected="0">
            <x v="4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EAB714-F983-4E83-ADF5-E7FE43D65CA9}" name="Tabela przestawna5" cacheId="21" applyNumberFormats="0" applyBorderFormats="0" applyFontFormats="0" applyPatternFormats="0" applyAlignmentFormats="0" applyWidthHeightFormats="1" dataCaption="Wartości" grandTotalCaption="l" updatedVersion="8" minRefreshableVersion="3" rowGrandTotals="0" colGrandTotals="0" itemPrintTitles="1" createdVersion="8" indent="0" outline="1" outlineData="1" multipleFieldFilters="0" rowHeaderCaption="">
  <location ref="K3:K4" firstHeaderRow="1" firstDataRow="1" firstDataCol="0" rowPageCount="1" colPageCount="1"/>
  <pivotFields count="28">
    <pivotField dataField="1" showAll="0"/>
    <pivotField showAll="0"/>
    <pivotField name="Choose customer:" axis="axisPage" showAll="0">
      <items count="87">
        <item m="1" x="66"/>
        <item m="1" x="64"/>
        <item m="1" x="78"/>
        <item m="1" x="72"/>
        <item m="1" x="51"/>
        <item m="1" x="68"/>
        <item m="1" x="63"/>
        <item m="1" x="58"/>
        <item m="1" x="79"/>
        <item m="1" x="50"/>
        <item m="1" x="84"/>
        <item m="1" x="55"/>
        <item m="1" x="54"/>
        <item m="1" x="62"/>
        <item m="1" x="75"/>
        <item m="1" x="77"/>
        <item m="1" x="61"/>
        <item m="1" x="76"/>
        <item m="1" x="82"/>
        <item m="1" x="69"/>
        <item m="1" x="83"/>
        <item m="1" x="71"/>
        <item m="1" x="65"/>
        <item m="1" x="80"/>
        <item m="1" x="49"/>
        <item m="1" x="73"/>
        <item m="1" x="56"/>
        <item m="1" x="46"/>
        <item m="1" x="70"/>
        <item m="1" x="74"/>
        <item m="1" x="60"/>
        <item m="1" x="67"/>
        <item m="1" x="81"/>
        <item m="1" x="52"/>
        <item m="1" x="44"/>
        <item m="1" x="57"/>
        <item m="1" x="48"/>
        <item m="1" x="47"/>
        <item x="36"/>
        <item m="1" x="45"/>
        <item m="1" x="43"/>
        <item m="1" x="53"/>
        <item m="1" x="85"/>
        <item m="1" x="59"/>
        <item x="1"/>
        <item x="2"/>
        <item x="4"/>
        <item x="5"/>
        <item x="6"/>
        <item x="9"/>
        <item x="10"/>
        <item x="11"/>
        <item x="12"/>
        <item x="13"/>
        <item x="15"/>
        <item x="16"/>
        <item x="17"/>
        <item x="18"/>
        <item x="19"/>
        <item x="21"/>
        <item x="23"/>
        <item x="24"/>
        <item x="8"/>
        <item x="25"/>
        <item x="26"/>
        <item x="28"/>
        <item x="30"/>
        <item x="33"/>
        <item x="34"/>
        <item x="35"/>
        <item x="29"/>
        <item x="0"/>
        <item x="3"/>
        <item x="7"/>
        <item x="14"/>
        <item x="20"/>
        <item x="22"/>
        <item x="27"/>
        <item x="31"/>
        <item x="32"/>
        <item x="37"/>
        <item x="38"/>
        <item x="39"/>
        <item x="40"/>
        <item x="41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2" hier="-1"/>
  </pageFields>
  <dataFields count="1">
    <dataField name="No orders" fld="0" subtotal="count" baseField="0" baseItem="1"/>
  </dataFields>
  <formats count="8"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labelOnly="1" outline="0" axis="axisValues" fieldPosition="0"/>
    </format>
    <format dxfId="91">
      <pivotArea dataOnly="0" labelOnly="1" outline="0" axis="axisValues" fieldPosition="0"/>
    </format>
    <format dxfId="90">
      <pivotArea outline="0" collapsedLevelsAreSubtotals="1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E4E8E4-DE87-41F3-B7A6-2CB01EB8659E}" name="Tabela przestawna3" cacheId="21" applyNumberFormats="0" applyBorderFormats="0" applyFontFormats="0" applyPatternFormats="0" applyAlignmentFormats="0" applyWidthHeightFormats="1" dataCaption="Wartości" grandTotalCaption="l" updatedVersion="8" minRefreshableVersion="3" rowGrandTotals="0" colGrandTotals="0" itemPrintTitles="1" createdVersion="8" indent="0" outline="1" outlineData="1" multipleFieldFilters="0" rowHeaderCaption="">
  <location ref="I3:I4" firstHeaderRow="1" firstDataRow="1" firstDataCol="0" rowPageCount="1" colPageCount="1"/>
  <pivotFields count="28">
    <pivotField showAll="0"/>
    <pivotField showAll="0"/>
    <pivotField name="Choose customer" axis="axisPage" showAll="0">
      <items count="87">
        <item m="1" x="66"/>
        <item m="1" x="64"/>
        <item m="1" x="78"/>
        <item m="1" x="72"/>
        <item m="1" x="51"/>
        <item m="1" x="68"/>
        <item m="1" x="63"/>
        <item m="1" x="58"/>
        <item m="1" x="79"/>
        <item m="1" x="50"/>
        <item m="1" x="84"/>
        <item m="1" x="55"/>
        <item m="1" x="54"/>
        <item m="1" x="62"/>
        <item m="1" x="75"/>
        <item m="1" x="77"/>
        <item m="1" x="61"/>
        <item m="1" x="76"/>
        <item m="1" x="82"/>
        <item m="1" x="69"/>
        <item m="1" x="83"/>
        <item m="1" x="71"/>
        <item m="1" x="65"/>
        <item m="1" x="80"/>
        <item m="1" x="49"/>
        <item m="1" x="73"/>
        <item m="1" x="56"/>
        <item m="1" x="46"/>
        <item m="1" x="70"/>
        <item m="1" x="74"/>
        <item m="1" x="60"/>
        <item m="1" x="67"/>
        <item m="1" x="81"/>
        <item m="1" x="52"/>
        <item m="1" x="44"/>
        <item m="1" x="57"/>
        <item m="1" x="48"/>
        <item m="1" x="47"/>
        <item x="36"/>
        <item m="1" x="45"/>
        <item m="1" x="43"/>
        <item m="1" x="53"/>
        <item m="1" x="85"/>
        <item m="1" x="59"/>
        <item x="1"/>
        <item x="2"/>
        <item x="4"/>
        <item x="5"/>
        <item x="6"/>
        <item x="9"/>
        <item x="10"/>
        <item x="11"/>
        <item x="12"/>
        <item x="13"/>
        <item x="15"/>
        <item x="16"/>
        <item x="17"/>
        <item x="18"/>
        <item x="19"/>
        <item x="21"/>
        <item x="23"/>
        <item x="24"/>
        <item x="8"/>
        <item x="25"/>
        <item x="26"/>
        <item x="28"/>
        <item x="30"/>
        <item x="33"/>
        <item x="34"/>
        <item x="35"/>
        <item x="29"/>
        <item x="0"/>
        <item x="3"/>
        <item x="7"/>
        <item x="14"/>
        <item x="20"/>
        <item x="22"/>
        <item x="27"/>
        <item x="31"/>
        <item x="32"/>
        <item x="37"/>
        <item x="38"/>
        <item x="39"/>
        <item x="40"/>
        <item x="41"/>
        <item x="4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pageFields count="1">
    <pageField fld="2" hier="-1"/>
  </pageFields>
  <dataFields count="1">
    <dataField name="Total profit [PLN]" fld="25" baseField="6" baseItem="1"/>
  </dataFields>
  <formats count="9">
    <format dxfId="103">
      <pivotArea type="all" dataOnly="0" outline="0" fieldPosition="0"/>
    </format>
    <format dxfId="102">
      <pivotArea outline="0" collapsedLevelsAreSubtotals="1" fieldPosition="0"/>
    </format>
    <format dxfId="101">
      <pivotArea dataOnly="0" labelOnly="1" outline="0" axis="axisValues" fieldPosition="0"/>
    </format>
    <format dxfId="100">
      <pivotArea dataOnly="0" labelOnly="1" outline="0" axis="axisValues" fieldPosition="0"/>
    </format>
    <format dxfId="99">
      <pivotArea dataOnly="0" labelOnly="1" outline="0" axis="axisValues" fieldPosition="0"/>
    </format>
    <format dxfId="98">
      <pivotArea outline="0" collapsedLevelsAreSubtotals="1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Customer" xr10:uid="{75B5FD53-0465-47B2-B997-F27687FCD6B4}" sourceName="Customer">
  <pivotTables>
    <pivotTable tabId="18" name="Tabela przestawna1"/>
    <pivotTable tabId="18" name="Tabela przestawna3"/>
    <pivotTable tabId="18" name="Tabela przestawna5"/>
  </pivotTables>
  <data>
    <tabular pivotCacheId="1957244452">
      <items count="86">
        <i x="10" s="1"/>
        <i x="25" s="1"/>
        <i x="17" s="1"/>
        <i x="29" s="1"/>
        <i x="12" s="1"/>
        <i x="5" s="1"/>
        <i x="24" s="1"/>
        <i x="26" s="1"/>
        <i x="35" s="1"/>
        <i x="37" s="1"/>
        <i x="4" s="1"/>
        <i x="41" s="1"/>
        <i x="38" s="1"/>
        <i x="2" s="1"/>
        <i x="23" s="1"/>
        <i x="33" s="1"/>
        <i x="13" s="1"/>
        <i x="34" s="1"/>
        <i x="16" s="1"/>
        <i x="9" s="1"/>
        <i x="21" s="1"/>
        <i x="22" s="1"/>
        <i x="28" s="1"/>
        <i x="18" s="1"/>
        <i x="39" s="1"/>
        <i x="6" s="1"/>
        <i x="8" s="1"/>
        <i x="15" s="1"/>
        <i x="19" s="1"/>
        <i x="27" s="1"/>
        <i x="1" s="1"/>
        <i x="11" s="1"/>
        <i x="31" s="1"/>
        <i x="3" s="1"/>
        <i x="40" s="1"/>
        <i x="30" s="1"/>
        <i x="20" s="1"/>
        <i x="14" s="1"/>
        <i x="42" s="1"/>
        <i x="36" s="1"/>
        <i x="7" s="1"/>
        <i x="0" s="1"/>
        <i x="32" s="1"/>
        <i x="66" s="1" nd="1"/>
        <i x="64" s="1" nd="1"/>
        <i x="78" s="1" nd="1"/>
        <i x="72" s="1" nd="1"/>
        <i x="51" s="1" nd="1"/>
        <i x="68" s="1" nd="1"/>
        <i x="63" s="1" nd="1"/>
        <i x="58" s="1" nd="1"/>
        <i x="79" s="1" nd="1"/>
        <i x="50" s="1" nd="1"/>
        <i x="84" s="1" nd="1"/>
        <i x="55" s="1" nd="1"/>
        <i x="54" s="1" nd="1"/>
        <i x="62" s="1" nd="1"/>
        <i x="75" s="1" nd="1"/>
        <i x="77" s="1" nd="1"/>
        <i x="61" s="1" nd="1"/>
        <i x="76" s="1" nd="1"/>
        <i x="82" s="1" nd="1"/>
        <i x="69" s="1" nd="1"/>
        <i x="83" s="1" nd="1"/>
        <i x="71" s="1" nd="1"/>
        <i x="65" s="1" nd="1"/>
        <i x="80" s="1" nd="1"/>
        <i x="49" s="1" nd="1"/>
        <i x="73" s="1" nd="1"/>
        <i x="56" s="1" nd="1"/>
        <i x="46" s="1" nd="1"/>
        <i x="70" s="1" nd="1"/>
        <i x="74" s="1" nd="1"/>
        <i x="60" s="1" nd="1"/>
        <i x="67" s="1" nd="1"/>
        <i x="81" s="1" nd="1"/>
        <i x="52" s="1" nd="1"/>
        <i x="44" s="1" nd="1"/>
        <i x="57" s="1" nd="1"/>
        <i x="48" s="1" nd="1"/>
        <i x="47" s="1" nd="1"/>
        <i x="59" s="1" nd="1"/>
        <i x="45" s="1" nd="1"/>
        <i x="43" s="1" nd="1"/>
        <i x="53" s="1" nd="1"/>
        <i x="8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E_I" xr10:uid="{6B2C4E69-0BF2-4283-B884-BC5041168CAC}" sourceName="E/I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LCL_FCL" xr10:uid="{12ED5043-6F61-4091-8FEA-C7FC16F8866F}" sourceName="LCL/FCL">
  <extLst>
    <x:ext xmlns:x15="http://schemas.microsoft.com/office/spreadsheetml/2010/11/main" uri="{2F2917AC-EB37-4324-AD4E-5DD8C200BD13}">
      <x15:tableSlicerCache tableId="1" column="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tatus" xr10:uid="{790EC780-2750-4AC3-A8A8-83EDF08F1F2E}" sourceName="Status">
  <extLst>
    <x:ext xmlns:x15="http://schemas.microsoft.com/office/spreadsheetml/2010/11/main" uri="{2F2917AC-EB37-4324-AD4E-5DD8C200BD13}">
      <x15:tableSlicerCache tableId="1" column="47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/I" xr10:uid="{956420B6-5124-426C-BFC0-00EEE4627ED9}" cache="Fragmentator_E_I" caption="E/I" style="SlicerStyleOther2" rowHeight="234950"/>
  <slicer name="LCL/FCL" xr10:uid="{1B147200-A525-4763-9DE4-207474D457E5}" cache="Fragmentator_LCL_FCL" caption="LCL/FCL" style="SlicerStyleOther2" rowHeight="234950"/>
  <slicer name="Status" xr10:uid="{33A2B8AB-3FD0-4F42-A97C-3D3122F26BEE}" cache="Fragmentator_Status" caption="Status" columnCount="2" style="SlicerStyleLight5" rowHeight="216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Wybierz klienta:" xr10:uid="{EFB3358C-8B24-4273-B38C-03FB23A37515}" cache="Fragmentator_Customer" caption="Wybierz klienta: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C0E67A-6E34-4ECB-BBDC-E96D922F4AE7}" name="MainImport" displayName="MainImport" ref="A4:AB165" totalsRowShown="0">
  <autoFilter ref="A4:AB165" xr:uid="{D8C0E67A-6E34-4ECB-BBDC-E96D922F4AE7}"/>
  <sortState xmlns:xlrd2="http://schemas.microsoft.com/office/spreadsheetml/2017/richdata2" ref="A5:Z165">
    <sortCondition sortBy="cellColor" ref="M5:M165" dxfId="131"/>
    <sortCondition sortBy="cellColor" ref="M5:M165" dxfId="130"/>
    <sortCondition sortBy="cellColor" ref="M5:M165" dxfId="129"/>
    <sortCondition sortBy="cellColor" ref="M5:M165" dxfId="128"/>
    <sortCondition sortBy="cellColor" ref="M5:M165" dxfId="127"/>
    <sortCondition ref="P5:P165"/>
  </sortState>
  <tableColumns count="28">
    <tableColumn id="1" xr3:uid="{2A8D9573-0264-4A07-8037-DDD250085BFC}" name="Reference"/>
    <tableColumn id="2" xr3:uid="{66A8E404-9A7D-4ECA-943F-3B1E3AC7109C}" name="E/I"/>
    <tableColumn id="3" xr3:uid="{E464D2F2-BC0E-4289-B939-FE327EFFB188}" name="Customer"/>
    <tableColumn id="4" xr3:uid="{5D616DC3-329F-4D01-8CD3-35762C1B8E0B}" name="No booking"/>
    <tableColumn id="5" xr3:uid="{FABDCBC4-8F76-46FB-A93C-862DC8FF0732}" name="Carrier"/>
    <tableColumn id="6" xr3:uid="{C4C44834-7CB3-4C83-B68A-ACD7A760D243}" name="Incoterms"/>
    <tableColumn id="7" xr3:uid="{1417E000-9D2E-4970-ABD9-8E4B317670AF}" name="LCL/FCL"/>
    <tableColumn id="8" xr3:uid="{66FD900F-6960-4F61-B72E-64D45240C53C}" name="Amount" dataDxfId="126"/>
    <tableColumn id="9" xr3:uid="{64E27240-C91A-4E79-9AD8-06F47E64B5B5}" name="Type"/>
    <tableColumn id="10" xr3:uid="{010114B7-9953-4277-A2E3-100B7EC04DCF}" name="Weight" dataDxfId="125"/>
    <tableColumn id="11" xr3:uid="{C58BFA8E-9BFB-489E-A13D-1443A8B4B66B}" name="CBM / TEU" dataDxfId="124"/>
    <tableColumn id="12" xr3:uid="{8BD3AF70-6695-4F83-96CD-F44550CCBF1A}" name="No Containers" dataDxfId="123"/>
    <tableColumn id="47" xr3:uid="{0516F3EA-C03F-4DDE-83E3-0BFCE71E5CFE}" name="Status"/>
    <tableColumn id="13" xr3:uid="{9968177D-C7D6-49FD-87CB-9C7223255482}" name="ETD" dataDxfId="122"/>
    <tableColumn id="14" xr3:uid="{EA13BE05-1CBB-4AAA-BA27-148033121877}" name="POL"/>
    <tableColumn id="15" xr3:uid="{EA449A27-5EA2-48E0-8DAE-B4766309F9B1}" name="ETA"/>
    <tableColumn id="16" xr3:uid="{B5C57D1D-D02B-4E4F-9BE8-0A0083ADDD75}" name="POD"/>
    <tableColumn id="17" xr3:uid="{7FB7620B-1025-4D12-BF8A-06D519CB9560}" name="Customs Clearance"/>
    <tableColumn id="18" xr3:uid="{3413E6DB-E2EB-4C6D-A947-FD657A0FC806}" name="Shipper"/>
    <tableColumn id="19" xr3:uid="{5E92E3D6-42EF-4FC5-8677-4FECBDD7026A}" name="Consingee"/>
    <tableColumn id="20" xr3:uid="{3019FE9F-C06D-4435-9BA3-65A3C3E1FBAC}" name="Marks"/>
    <tableColumn id="21" xr3:uid="{39E4D441-6D20-43CB-BF40-532F55F1C908}" name="Agent"/>
    <tableColumn id="23" xr3:uid="{40EFF349-DED5-4250-98A1-083ECB298911}" name="Sell rate" dataDxfId="121"/>
    <tableColumn id="24" xr3:uid="{28F762BF-5089-4998-A311-DCCA182B1C30}" name="Buy rate" dataDxfId="120"/>
    <tableColumn id="25" xr3:uid="{B42AC76C-1E01-4252-9DB6-CB151574EF63}" name="Insurance"/>
    <tableColumn id="26" xr3:uid="{E697E771-5AA7-479B-AC6C-F3D2C571796D}" name="Profit"/>
    <tableColumn id="22" xr3:uid="{0D151DFE-C067-4F20-ABF0-FD536B1DC8FC}" name="Month" dataDxfId="119">
      <calculatedColumnFormula>IF(MainImport[[#This Row],[E/I]]="Import", MONTH(MainImport[[#This Row],[ETA]]), MONTH(MainImport[[#This Row],[ETD]]))</calculatedColumnFormula>
    </tableColumn>
    <tableColumn id="27" xr3:uid="{0334BB15-CA5C-4665-A822-DA32C7378200}" name="Year" dataDxfId="118">
      <calculatedColumnFormula>IF(MainImport[[#This Row],[E/I]]="Import", YEAR(MainImport[[#This Row],[ETA]]), YEAR(MainImport[[#This Row],[ETD]]))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E220815-C045-402F-81CE-68585F4553E1}" name="tb_customs_clearance" displayName="tb_customs_clearance" ref="A4:R10" totalsRowShown="0" headerRowDxfId="117">
  <autoFilter ref="A4:R10" xr:uid="{3E220815-C045-402F-81CE-68585F4553E1}"/>
  <sortState xmlns:xlrd2="http://schemas.microsoft.com/office/spreadsheetml/2017/richdata2" ref="A5:R10">
    <sortCondition sortBy="cellColor" ref="O5:O10" dxfId="116"/>
    <sortCondition sortBy="cellColor" ref="O5:O10" dxfId="115"/>
    <sortCondition sortBy="cellColor" ref="O5:O10" dxfId="114"/>
    <sortCondition sortBy="cellColor" ref="O5:O10" dxfId="113"/>
    <sortCondition sortBy="cellColor" ref="O5:O10" dxfId="112"/>
  </sortState>
  <tableColumns count="18">
    <tableColumn id="1" xr3:uid="{9E92803A-5868-43F5-8E62-743502EB4E68}" name="Reference"/>
    <tableColumn id="2" xr3:uid="{9499C269-A0AE-451B-A277-280629EA20A6}" name="E/I"/>
    <tableColumn id="3" xr3:uid="{70F95D4A-AB37-498E-8F09-8E729B0DDD39}" name="Customer"/>
    <tableColumn id="4" xr3:uid="{C5EE611C-6530-403C-AC14-F1D680AB21F7}" name="Incoterms"/>
    <tableColumn id="22" xr3:uid="{13D66807-EDE5-4AAE-ABD9-758DD95B6AB3}" name="FCL/LCL"/>
    <tableColumn id="5" xr3:uid="{06E46B6F-EB71-456D-8B3A-2879D5416D66}" name="Amount"/>
    <tableColumn id="6" xr3:uid="{BDA67FC5-B893-4A60-A6C0-F1DCE36CE79B}" name="Type"/>
    <tableColumn id="7" xr3:uid="{C36EDEAE-BE86-4AC2-8A9A-74A478958937}" name="Weight"/>
    <tableColumn id="8" xr3:uid="{084D87F9-5A7D-4622-B602-614899CC904C}" name="CBM / TEU"/>
    <tableColumn id="9" xr3:uid="{6843BDBB-4050-4A09-ACF3-B159EFADF900}" name="No Containers"/>
    <tableColumn id="12" xr3:uid="{E839245A-E252-4674-8B3E-036458453436}" name="Agency"/>
    <tableColumn id="21" xr3:uid="{1018560F-C31F-4365-933E-3EF62E828047}" name="Warehouse/port"/>
    <tableColumn id="13" xr3:uid="{0116E4EF-D382-4AED-8447-57EE9413E529}" name="Agency Contact"/>
    <tableColumn id="14" xr3:uid="{5E7FD787-ACF1-4E23-AE3F-AD0DDF03DD4D}" name="Type of Customs Clearance"/>
    <tableColumn id="15" xr3:uid="{35E950FF-5AE8-4482-B965-F9615B1B5C5A}" name="Status"/>
    <tableColumn id="16" xr3:uid="{A377BFD8-6B0F-4D7E-A4AC-5832B6DE1BE5}" name="Commodity"/>
    <tableColumn id="17" xr3:uid="{91D5E610-3F37-4187-9A1D-43B0ED0F1EB2}" name="PIN"/>
    <tableColumn id="18" xr3:uid="{E4580D90-21A2-41D7-B50F-1EA66466EC26}" name="Finis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13655A-6986-4357-BEAD-D7AE93B81818}" name="tb_customers" displayName="tb_customers" ref="A1:F45" totalsRowShown="0" headerRowDxfId="74">
  <autoFilter ref="A1:F45" xr:uid="{3C13655A-6986-4357-BEAD-D7AE93B81818}"/>
  <sortState xmlns:xlrd2="http://schemas.microsoft.com/office/spreadsheetml/2017/richdata2" ref="A2:D35">
    <sortCondition ref="A2:A36"/>
  </sortState>
  <tableColumns count="6">
    <tableColumn id="1" xr3:uid="{3EA1BE11-DCD4-45D9-9677-304B546D0ACA}" name="Name"/>
    <tableColumn id="2" xr3:uid="{28A7BB59-AE79-4A7A-B9B4-FE63F71D8BC6}" name="Data"/>
    <tableColumn id="3" xr3:uid="{40959445-50DB-400C-9C38-C4BD7216585E}" name="Email"/>
    <tableColumn id="4" xr3:uid="{1D4E9663-6FCF-4322-B8AD-B2AC440F7EE9}" name="Termin płatności (dni)"/>
    <tableColumn id="5" xr3:uid="{0DCD10E5-A304-4F32-B6BC-AD5BC1452461}" name="Faktury"/>
    <tableColumn id="6" xr3:uid="{C020955C-38EF-4F38-B3B8-8F6B4836ADB2}" name="Adres dostaw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W46" dT="2023-12-06T09:59:53.00" personId="{BD0D67C6-D77D-40F9-8F69-7FE02A6197B9}" id="{A0EAD3E7-1732-4477-A006-F66F9AC2145E}">
    <text xml:space="preserve">Nowa oferta musi być - DONE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Shee@smilelogistics.com%20MB/WA/Skype/Wechat:13510294492%20ShenZhen%20Smile%20Int'l%20Logistics%20Co.,LTD." TargetMode="External"/><Relationship Id="rId7" Type="http://schemas.openxmlformats.org/officeDocument/2006/relationships/drawing" Target="../drawings/drawing2.xml"/><Relationship Id="rId12" Type="http://schemas.microsoft.com/office/2017/10/relationships/threadedComment" Target="../threadedComments/threadedComment1.xml"/><Relationship Id="rId2" Type="http://schemas.openxmlformats.org/officeDocument/2006/relationships/hyperlink" Target="mailto:anna@acspedycja.pl" TargetMode="External"/><Relationship Id="rId1" Type="http://schemas.openxmlformats.org/officeDocument/2006/relationships/hyperlink" Target="mailto:anna@acspedycja.pl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omments" Target="../comments1.xml"/><Relationship Id="rId5" Type="http://schemas.openxmlformats.org/officeDocument/2006/relationships/hyperlink" Target="mailto:test@test.com" TargetMode="External"/><Relationship Id="rId10" Type="http://schemas.microsoft.com/office/2007/relationships/slicer" Target="../slicers/slicer1.xml"/><Relationship Id="rId4" Type="http://schemas.openxmlformats.org/officeDocument/2006/relationships/hyperlink" Target="mailto:lisa@liutaimattress.com" TargetMode="External"/><Relationship Id="rId9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efaktury@tecweld.p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01B90-4D81-414F-8CA9-3E98BE24E523}">
  <sheetPr codeName="Sheet7"/>
  <dimension ref="A1:H39"/>
  <sheetViews>
    <sheetView workbookViewId="0">
      <selection activeCell="E18" sqref="E18"/>
    </sheetView>
  </sheetViews>
  <sheetFormatPr defaultRowHeight="14.4" x14ac:dyDescent="0.3"/>
  <cols>
    <col min="5" max="5" width="15.33203125" customWidth="1"/>
    <col min="8" max="8" width="23.44140625" customWidth="1"/>
  </cols>
  <sheetData>
    <row r="1" spans="1:8" ht="20.399999999999999" customHeight="1" x14ac:dyDescent="0.3">
      <c r="A1" t="s">
        <v>30</v>
      </c>
      <c r="C1" t="s">
        <v>31</v>
      </c>
      <c r="E1" t="s">
        <v>869</v>
      </c>
    </row>
    <row r="2" spans="1:8" s="9" customFormat="1" ht="45.6" customHeight="1" x14ac:dyDescent="0.3">
      <c r="A2" s="9" t="s">
        <v>32</v>
      </c>
      <c r="C2" s="9" t="s">
        <v>33</v>
      </c>
      <c r="E2" s="9" t="s">
        <v>24</v>
      </c>
    </row>
    <row r="3" spans="1:8" ht="60.6" customHeight="1" x14ac:dyDescent="0.3">
      <c r="A3" t="s">
        <v>25</v>
      </c>
      <c r="C3" t="s">
        <v>34</v>
      </c>
      <c r="E3" t="s">
        <v>870</v>
      </c>
      <c r="G3" t="s">
        <v>29</v>
      </c>
      <c r="H3" s="5" t="s">
        <v>820</v>
      </c>
    </row>
    <row r="4" spans="1:8" x14ac:dyDescent="0.3">
      <c r="C4" t="s">
        <v>27</v>
      </c>
      <c r="E4" t="s">
        <v>871</v>
      </c>
      <c r="G4" t="s">
        <v>26</v>
      </c>
    </row>
    <row r="5" spans="1:8" ht="17.399999999999999" customHeight="1" x14ac:dyDescent="0.3">
      <c r="C5" t="s">
        <v>35</v>
      </c>
      <c r="E5" t="s">
        <v>872</v>
      </c>
    </row>
    <row r="6" spans="1:8" x14ac:dyDescent="0.3">
      <c r="A6" t="s">
        <v>36</v>
      </c>
      <c r="C6" t="s">
        <v>37</v>
      </c>
      <c r="E6" t="s">
        <v>873</v>
      </c>
    </row>
    <row r="7" spans="1:8" ht="19.2" customHeight="1" x14ac:dyDescent="0.3">
      <c r="A7" t="s">
        <v>26</v>
      </c>
      <c r="C7" t="s">
        <v>38</v>
      </c>
      <c r="E7" t="s">
        <v>874</v>
      </c>
    </row>
    <row r="8" spans="1:8" x14ac:dyDescent="0.3">
      <c r="A8" t="s">
        <v>29</v>
      </c>
    </row>
    <row r="15" spans="1:8" ht="17.399999999999999" customHeight="1" x14ac:dyDescent="0.3"/>
    <row r="17" ht="14.4" customHeight="1" x14ac:dyDescent="0.3"/>
    <row r="19" ht="18.600000000000001" customHeight="1" x14ac:dyDescent="0.3"/>
    <row r="28" ht="16.2" customHeight="1" x14ac:dyDescent="0.3"/>
    <row r="29" ht="15.6" customHeight="1" x14ac:dyDescent="0.3"/>
    <row r="32" ht="21" customHeight="1" x14ac:dyDescent="0.3"/>
    <row r="33" ht="22.2" customHeight="1" x14ac:dyDescent="0.3"/>
    <row r="36" ht="15.6" customHeight="1" x14ac:dyDescent="0.3"/>
    <row r="39" ht="17.399999999999999" customHeight="1" x14ac:dyDescent="0.3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98C4F-3152-4067-BDB4-157F9A3FEFAD}">
  <sheetPr codeName="Arkusz6"/>
  <dimension ref="A1:N16"/>
  <sheetViews>
    <sheetView workbookViewId="0">
      <selection activeCell="K13" sqref="K13"/>
    </sheetView>
  </sheetViews>
  <sheetFormatPr defaultColWidth="0" defaultRowHeight="14.4" zeroHeight="1" x14ac:dyDescent="0.3"/>
  <cols>
    <col min="1" max="1" width="7.6640625" style="34" customWidth="1"/>
    <col min="2" max="2" width="15.77734375" style="34" customWidth="1"/>
    <col min="3" max="3" width="18.21875" style="34" customWidth="1"/>
    <col min="4" max="4" width="6" style="34" customWidth="1"/>
    <col min="5" max="5" width="11.33203125" style="34" customWidth="1"/>
    <col min="6" max="6" width="12.44140625" style="34" customWidth="1"/>
    <col min="7" max="7" width="20.109375" style="34" customWidth="1"/>
    <col min="8" max="8" width="6.33203125" style="34" customWidth="1"/>
    <col min="9" max="9" width="8.88671875" style="34" customWidth="1"/>
    <col min="10" max="10" width="12.44140625" style="34" customWidth="1"/>
    <col min="11" max="11" width="19.6640625" style="34" customWidth="1"/>
    <col min="12" max="12" width="5.88671875" style="34" customWidth="1"/>
    <col min="13" max="13" width="8.88671875" style="34" customWidth="1"/>
    <col min="14" max="14" width="0" hidden="1" customWidth="1"/>
    <col min="15" max="16384" width="8.88671875" hidden="1"/>
  </cols>
  <sheetData>
    <row r="1" spans="1:14" ht="34.799999999999997" customHeight="1" x14ac:dyDescent="0.3">
      <c r="A1" s="52" t="s">
        <v>894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4"/>
    </row>
    <row r="2" spans="1:14" x14ac:dyDescent="0.3">
      <c r="A2" s="33"/>
      <c r="M2" s="35"/>
    </row>
    <row r="3" spans="1:14" x14ac:dyDescent="0.3">
      <c r="A3" s="33"/>
      <c r="B3" s="34" t="s">
        <v>892</v>
      </c>
      <c r="C3" s="43" t="s">
        <v>32</v>
      </c>
      <c r="D3" s="36">
        <f>IF(C3="", "*",1)</f>
        <v>1</v>
      </c>
      <c r="F3" s="34" t="s">
        <v>7</v>
      </c>
      <c r="G3" s="44"/>
      <c r="H3" s="36" t="str">
        <f>IF(G3="", "*",1)</f>
        <v>*</v>
      </c>
      <c r="J3" s="34" t="s">
        <v>893</v>
      </c>
      <c r="K3" s="43"/>
      <c r="L3" s="36"/>
      <c r="M3" s="35"/>
    </row>
    <row r="4" spans="1:14" x14ac:dyDescent="0.3">
      <c r="A4" s="33"/>
      <c r="M4" s="35"/>
    </row>
    <row r="5" spans="1:14" x14ac:dyDescent="0.3">
      <c r="A5" s="33"/>
      <c r="B5" s="34" t="s">
        <v>2</v>
      </c>
      <c r="C5" s="43"/>
      <c r="D5" s="36" t="str">
        <f>IF(C5="", "*",1)</f>
        <v>*</v>
      </c>
      <c r="F5" s="34" t="s">
        <v>8</v>
      </c>
      <c r="G5" s="43"/>
      <c r="H5" s="36" t="str">
        <f>IF(G5="", "*",1)</f>
        <v>*</v>
      </c>
      <c r="J5" s="34" t="s">
        <v>13</v>
      </c>
      <c r="K5" s="43"/>
      <c r="L5" s="36" t="str">
        <f>IF(K5="", "*",1)</f>
        <v>*</v>
      </c>
      <c r="M5" s="35"/>
    </row>
    <row r="6" spans="1:14" x14ac:dyDescent="0.3">
      <c r="A6" s="33"/>
      <c r="M6" s="35"/>
    </row>
    <row r="7" spans="1:14" x14ac:dyDescent="0.3">
      <c r="A7" s="33"/>
      <c r="B7" s="34" t="s">
        <v>5</v>
      </c>
      <c r="C7" s="43"/>
      <c r="D7" s="36" t="str">
        <f>IF(C7="", "*",1)</f>
        <v>*</v>
      </c>
      <c r="F7" s="34" t="s">
        <v>9</v>
      </c>
      <c r="G7" s="44"/>
      <c r="H7" s="36" t="str">
        <f>IF(G7="", "*",1)</f>
        <v>*</v>
      </c>
      <c r="J7" s="34" t="s">
        <v>15</v>
      </c>
      <c r="K7" s="43"/>
      <c r="L7" s="36" t="str">
        <f>IF(K7="", "*",1)</f>
        <v>*</v>
      </c>
      <c r="M7" s="35"/>
    </row>
    <row r="8" spans="1:14" x14ac:dyDescent="0.3">
      <c r="A8" s="33"/>
      <c r="M8" s="35"/>
    </row>
    <row r="9" spans="1:14" x14ac:dyDescent="0.3">
      <c r="A9" s="33"/>
      <c r="B9" s="34" t="s">
        <v>6</v>
      </c>
      <c r="C9" s="43"/>
      <c r="D9" s="36" t="str">
        <f>IF(C9="", "*",1)</f>
        <v>*</v>
      </c>
      <c r="F9" s="34" t="s">
        <v>10</v>
      </c>
      <c r="G9" s="44"/>
      <c r="H9" s="36" t="str">
        <f>IF(G9="", "*",1)</f>
        <v>*</v>
      </c>
      <c r="J9" s="34" t="s">
        <v>862</v>
      </c>
      <c r="K9" s="43"/>
      <c r="L9" s="36" t="str">
        <f>IF(K9="", "*",1)</f>
        <v>*</v>
      </c>
      <c r="M9" s="35"/>
    </row>
    <row r="10" spans="1:14" x14ac:dyDescent="0.3">
      <c r="A10" s="33"/>
      <c r="M10" s="35"/>
    </row>
    <row r="11" spans="1:14" ht="31.2" customHeight="1" x14ac:dyDescent="0.3">
      <c r="A11" s="33"/>
      <c r="B11" s="41" t="s">
        <v>19</v>
      </c>
      <c r="C11" s="45"/>
      <c r="D11" s="42"/>
      <c r="M11" s="35"/>
    </row>
    <row r="12" spans="1:14" x14ac:dyDescent="0.3">
      <c r="A12" s="33"/>
      <c r="M12" s="35"/>
    </row>
    <row r="13" spans="1:14" x14ac:dyDescent="0.3">
      <c r="A13" s="33"/>
      <c r="M13" s="35"/>
    </row>
    <row r="14" spans="1:14" x14ac:dyDescent="0.3">
      <c r="A14" s="33"/>
      <c r="M14" s="35"/>
    </row>
    <row r="15" spans="1:14" x14ac:dyDescent="0.3">
      <c r="A15" s="37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9"/>
      <c r="N15" s="32"/>
    </row>
    <row r="16" spans="1:14" hidden="1" x14ac:dyDescent="0.3">
      <c r="F16" s="40"/>
    </row>
  </sheetData>
  <mergeCells count="1">
    <mergeCell ref="A1:M1"/>
  </mergeCells>
  <conditionalFormatting sqref="C3 C5 C7 C9 C11 G3 G5 G7 G9 K3 K5 K7 K9">
    <cfRule type="notContainsBlanks" dxfId="73" priority="1">
      <formula>LEN(TRIM(C3))&gt;0</formula>
    </cfRule>
  </conditionalFormatting>
  <dataValidations count="1">
    <dataValidation type="list" allowBlank="1" showInputMessage="1" showErrorMessage="1" sqref="C5" xr:uid="{2F4528E4-C698-4155-84F8-A4652348AE0F}">
      <formula1>list_of_customers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D6702CA2-4C8D-4AC6-8C5A-5B2741D1E7D8}">
            <x14:iconSet iconSet="3Arrow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D3 D5 D7 D9 D11 H3 H5 H7 H9 L3 L5 L7 L9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24EA33-365C-4C04-9CCD-18B2C7A7E966}">
          <x14:formula1>
            <xm:f>Settings!$A$2:$A$3</xm:f>
          </x14:formula1>
          <xm:sqref>C3</xm:sqref>
        </x14:dataValidation>
        <x14:dataValidation type="list" allowBlank="1" showInputMessage="1" showErrorMessage="1" xr:uid="{2AC8DA6B-BA6C-4CAA-A7E6-1CFB9E1C9387}">
          <x14:formula1>
            <xm:f>Settings!$A$7:$A$8</xm:f>
          </x14:formula1>
          <xm:sqref>C9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F891A-2598-448E-97EF-EBC11BDBE602}">
  <sheetPr codeName="Sheet3"/>
  <dimension ref="A1:AB165"/>
  <sheetViews>
    <sheetView tabSelected="1" zoomScale="70" zoomScaleNormal="70" workbookViewId="0">
      <pane ySplit="4" topLeftCell="A76" activePane="bottomLeft" state="frozen"/>
      <selection pane="bottomLeft" activeCell="O89" sqref="O89"/>
    </sheetView>
  </sheetViews>
  <sheetFormatPr defaultRowHeight="14.4" x14ac:dyDescent="0.3"/>
  <cols>
    <col min="1" max="1" width="14.33203125" customWidth="1"/>
    <col min="2" max="2" width="10.6640625" customWidth="1"/>
    <col min="3" max="3" width="14.109375" customWidth="1"/>
    <col min="4" max="4" width="29.88671875" customWidth="1"/>
    <col min="5" max="5" width="11.109375" customWidth="1"/>
    <col min="6" max="6" width="6.44140625" customWidth="1"/>
    <col min="7" max="7" width="6.5546875" customWidth="1"/>
    <col min="8" max="8" width="6.44140625" customWidth="1"/>
    <col min="9" max="9" width="8.33203125" customWidth="1"/>
    <col min="10" max="10" width="10.5546875" customWidth="1"/>
    <col min="11" max="11" width="8.33203125" customWidth="1"/>
    <col min="12" max="12" width="14.6640625" customWidth="1"/>
    <col min="13" max="13" width="9.77734375" customWidth="1"/>
    <col min="14" max="14" width="10.6640625" style="24" customWidth="1"/>
    <col min="15" max="15" width="9.33203125" customWidth="1"/>
    <col min="16" max="16" width="10.5546875" customWidth="1"/>
    <col min="17" max="17" width="9.109375" customWidth="1"/>
    <col min="18" max="18" width="17.5546875" customWidth="1"/>
    <col min="19" max="19" width="19.109375" customWidth="1"/>
    <col min="20" max="20" width="12.44140625" customWidth="1"/>
    <col min="21" max="21" width="11.77734375" customWidth="1"/>
    <col min="22" max="22" width="9.109375" customWidth="1"/>
    <col min="23" max="23" width="10.33203125" style="8" customWidth="1"/>
    <col min="24" max="24" width="10.44140625" style="8" customWidth="1"/>
    <col min="25" max="25" width="14.77734375" customWidth="1"/>
    <col min="26" max="26" width="9.109375" customWidth="1"/>
    <col min="27" max="27" width="11.21875" customWidth="1"/>
  </cols>
  <sheetData>
    <row r="1" spans="1:28" s="1" customFormat="1" ht="45.6" customHeight="1" x14ac:dyDescent="0.3">
      <c r="N1" s="23"/>
      <c r="W1" s="7"/>
      <c r="X1" s="7"/>
    </row>
    <row r="2" spans="1:28" s="1" customFormat="1" ht="37.200000000000003" customHeight="1" x14ac:dyDescent="0.3">
      <c r="N2" s="23"/>
      <c r="W2" s="7"/>
      <c r="X2" s="7"/>
    </row>
    <row r="3" spans="1:28" s="1" customFormat="1" ht="30.6" customHeight="1" x14ac:dyDescent="0.3">
      <c r="N3" s="23"/>
      <c r="W3" s="7"/>
      <c r="X3" s="7"/>
    </row>
    <row r="4" spans="1:28" x14ac:dyDescent="0.3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11</v>
      </c>
      <c r="M4" t="s">
        <v>31</v>
      </c>
      <c r="N4" s="24" t="s">
        <v>12</v>
      </c>
      <c r="O4" t="s">
        <v>13</v>
      </c>
      <c r="P4" t="s">
        <v>14</v>
      </c>
      <c r="Q4" t="s">
        <v>15</v>
      </c>
      <c r="R4" t="s">
        <v>16</v>
      </c>
      <c r="S4" t="s">
        <v>17</v>
      </c>
      <c r="T4" t="s">
        <v>18</v>
      </c>
      <c r="U4" t="s">
        <v>19</v>
      </c>
      <c r="V4" t="s">
        <v>20</v>
      </c>
      <c r="W4" s="8" t="s">
        <v>21</v>
      </c>
      <c r="X4" s="8" t="s">
        <v>22</v>
      </c>
      <c r="Y4" t="s">
        <v>23</v>
      </c>
      <c r="Z4" t="s">
        <v>861</v>
      </c>
      <c r="AA4" t="s">
        <v>899</v>
      </c>
      <c r="AB4" t="s">
        <v>898</v>
      </c>
    </row>
    <row r="5" spans="1:28" ht="19.8" customHeight="1" x14ac:dyDescent="0.3">
      <c r="A5" t="s">
        <v>28</v>
      </c>
      <c r="B5" t="s">
        <v>25</v>
      </c>
      <c r="C5" t="s">
        <v>953</v>
      </c>
      <c r="D5" t="s">
        <v>28</v>
      </c>
      <c r="E5" t="s">
        <v>28</v>
      </c>
      <c r="F5" t="s">
        <v>40</v>
      </c>
      <c r="G5" t="s">
        <v>26</v>
      </c>
      <c r="H5" s="28">
        <v>1</v>
      </c>
      <c r="I5" t="s">
        <v>41</v>
      </c>
      <c r="J5" s="6" t="s">
        <v>28</v>
      </c>
      <c r="K5" s="6">
        <v>2</v>
      </c>
      <c r="L5" s="9" t="s">
        <v>28</v>
      </c>
      <c r="M5" t="s">
        <v>34</v>
      </c>
      <c r="N5" s="24">
        <v>45323</v>
      </c>
      <c r="O5" t="s">
        <v>62</v>
      </c>
      <c r="P5" s="24">
        <v>45356</v>
      </c>
      <c r="Q5" t="s">
        <v>43</v>
      </c>
      <c r="R5" t="s">
        <v>28</v>
      </c>
      <c r="S5" t="s">
        <v>28</v>
      </c>
      <c r="T5" t="s">
        <v>28</v>
      </c>
      <c r="U5" t="s">
        <v>28</v>
      </c>
      <c r="V5" t="s">
        <v>28</v>
      </c>
      <c r="W5" s="5" t="s">
        <v>365</v>
      </c>
      <c r="X5" s="8" t="s">
        <v>375</v>
      </c>
      <c r="Y5" t="s">
        <v>28</v>
      </c>
      <c r="Z5" t="s">
        <v>28</v>
      </c>
      <c r="AA5">
        <f>IF(MainImport[[#This Row],[E/I]]="Import", MONTH(MainImport[[#This Row],[ETA]]), MONTH(MainImport[[#This Row],[ETD]]))</f>
        <v>3</v>
      </c>
      <c r="AB5">
        <f>IF(MainImport[[#This Row],[E/I]]="Import", YEAR(MainImport[[#This Row],[ETA]]), YEAR(MainImport[[#This Row],[ETD]]))</f>
        <v>2024</v>
      </c>
    </row>
    <row r="6" spans="1:28" ht="19.8" customHeight="1" x14ac:dyDescent="0.3">
      <c r="A6" t="s">
        <v>501</v>
      </c>
      <c r="B6" t="s">
        <v>25</v>
      </c>
      <c r="C6" t="s">
        <v>940</v>
      </c>
      <c r="D6" t="s">
        <v>625</v>
      </c>
      <c r="E6" t="s">
        <v>498</v>
      </c>
      <c r="F6" t="s">
        <v>40</v>
      </c>
      <c r="G6" t="s">
        <v>26</v>
      </c>
      <c r="H6" s="28">
        <v>2</v>
      </c>
      <c r="I6" t="s">
        <v>90</v>
      </c>
      <c r="J6" s="6" t="s">
        <v>28</v>
      </c>
      <c r="K6" s="6">
        <v>2</v>
      </c>
      <c r="L6" s="9" t="s">
        <v>28</v>
      </c>
      <c r="M6" t="s">
        <v>34</v>
      </c>
      <c r="N6" s="24">
        <v>45371</v>
      </c>
      <c r="O6" t="s">
        <v>412</v>
      </c>
      <c r="P6" s="24">
        <v>45427</v>
      </c>
      <c r="Q6" t="s">
        <v>149</v>
      </c>
      <c r="R6" t="s">
        <v>144</v>
      </c>
      <c r="S6" s="5" t="s">
        <v>500</v>
      </c>
      <c r="T6" t="s">
        <v>28</v>
      </c>
      <c r="U6" t="s">
        <v>28</v>
      </c>
      <c r="V6" s="11" t="s">
        <v>499</v>
      </c>
      <c r="W6" s="5" t="s">
        <v>502</v>
      </c>
      <c r="X6" s="8" t="s">
        <v>503</v>
      </c>
      <c r="Y6" t="s">
        <v>28</v>
      </c>
      <c r="Z6" t="s">
        <v>28</v>
      </c>
      <c r="AA6">
        <f>IF(MainImport[[#This Row],[E/I]]="Import", MONTH(MainImport[[#This Row],[ETA]]), MONTH(MainImport[[#This Row],[ETD]]))</f>
        <v>5</v>
      </c>
      <c r="AB6">
        <f>IF(MainImport[[#This Row],[E/I]]="Import", YEAR(MainImport[[#This Row],[ETA]]), YEAR(MainImport[[#This Row],[ETD]]))</f>
        <v>2024</v>
      </c>
    </row>
    <row r="7" spans="1:28" ht="19.8" customHeight="1" x14ac:dyDescent="0.3">
      <c r="A7" t="s">
        <v>282</v>
      </c>
      <c r="B7" t="s">
        <v>25</v>
      </c>
      <c r="C7" t="s">
        <v>927</v>
      </c>
      <c r="D7" t="s">
        <v>28</v>
      </c>
      <c r="E7" t="s">
        <v>28</v>
      </c>
      <c r="F7" t="s">
        <v>40</v>
      </c>
      <c r="G7" t="s">
        <v>26</v>
      </c>
      <c r="H7" s="28">
        <v>1</v>
      </c>
      <c r="I7" t="s">
        <v>41</v>
      </c>
      <c r="J7" s="6" t="s">
        <v>28</v>
      </c>
      <c r="K7" s="6">
        <v>2</v>
      </c>
      <c r="L7" s="9" t="s">
        <v>28</v>
      </c>
      <c r="M7" t="s">
        <v>34</v>
      </c>
      <c r="N7" s="24" t="s">
        <v>28</v>
      </c>
      <c r="O7" t="s">
        <v>53</v>
      </c>
      <c r="P7" s="24" t="s">
        <v>28</v>
      </c>
      <c r="Q7" t="s">
        <v>43</v>
      </c>
      <c r="R7" t="s">
        <v>28</v>
      </c>
      <c r="S7" t="s">
        <v>28</v>
      </c>
      <c r="T7" t="s">
        <v>28</v>
      </c>
      <c r="U7" t="s">
        <v>28</v>
      </c>
      <c r="V7" t="s">
        <v>28</v>
      </c>
      <c r="W7" s="8" t="s">
        <v>28</v>
      </c>
      <c r="X7" s="8" t="s">
        <v>28</v>
      </c>
      <c r="Y7" t="s">
        <v>28</v>
      </c>
      <c r="Z7" t="s">
        <v>28</v>
      </c>
      <c r="AA7" t="e">
        <f>IF(MainImport[[#This Row],[E/I]]="Import", MONTH(MainImport[[#This Row],[ETA]]), MONTH(MainImport[[#This Row],[ETD]]))</f>
        <v>#VALUE!</v>
      </c>
      <c r="AB7" t="e">
        <f>IF(MainImport[[#This Row],[E/I]]="Import", YEAR(MainImport[[#This Row],[ETA]]), YEAR(MainImport[[#This Row],[ETD]]))</f>
        <v>#VALUE!</v>
      </c>
    </row>
    <row r="8" spans="1:28" ht="19.8" customHeight="1" x14ac:dyDescent="0.3">
      <c r="A8" t="s">
        <v>617</v>
      </c>
      <c r="B8" t="s">
        <v>25</v>
      </c>
      <c r="C8" t="s">
        <v>949</v>
      </c>
      <c r="D8" t="s">
        <v>775</v>
      </c>
      <c r="E8" t="s">
        <v>28</v>
      </c>
      <c r="F8" t="s">
        <v>63</v>
      </c>
      <c r="G8" t="s">
        <v>26</v>
      </c>
      <c r="H8" s="28">
        <v>1</v>
      </c>
      <c r="I8" t="s">
        <v>41</v>
      </c>
      <c r="J8" s="6" t="s">
        <v>28</v>
      </c>
      <c r="K8" s="6">
        <v>2</v>
      </c>
      <c r="L8" s="9" t="s">
        <v>28</v>
      </c>
      <c r="M8" t="s">
        <v>34</v>
      </c>
      <c r="N8" s="24">
        <v>45397</v>
      </c>
      <c r="O8" t="s">
        <v>220</v>
      </c>
      <c r="P8" s="24" t="s">
        <v>28</v>
      </c>
      <c r="Q8" t="s">
        <v>486</v>
      </c>
      <c r="R8" t="s">
        <v>28</v>
      </c>
      <c r="S8" t="s">
        <v>28</v>
      </c>
      <c r="T8" t="s">
        <v>28</v>
      </c>
      <c r="U8" t="s">
        <v>28</v>
      </c>
      <c r="V8" t="s">
        <v>28</v>
      </c>
      <c r="W8" s="8" t="s">
        <v>28</v>
      </c>
      <c r="X8" s="8" t="s">
        <v>28</v>
      </c>
      <c r="Y8" t="s">
        <v>28</v>
      </c>
      <c r="Z8" t="s">
        <v>28</v>
      </c>
      <c r="AA8" t="e">
        <f>IF(MainImport[[#This Row],[E/I]]="Import", MONTH(MainImport[[#This Row],[ETA]]), MONTH(MainImport[[#This Row],[ETD]]))</f>
        <v>#VALUE!</v>
      </c>
      <c r="AB8" t="e">
        <f>IF(MainImport[[#This Row],[E/I]]="Import", YEAR(MainImport[[#This Row],[ETA]]), YEAR(MainImport[[#This Row],[ETD]]))</f>
        <v>#VALUE!</v>
      </c>
    </row>
    <row r="9" spans="1:28" ht="19.8" customHeight="1" x14ac:dyDescent="0.3">
      <c r="A9" t="s">
        <v>129</v>
      </c>
      <c r="B9" t="s">
        <v>25</v>
      </c>
      <c r="C9" t="s">
        <v>949</v>
      </c>
      <c r="D9" t="s">
        <v>152</v>
      </c>
      <c r="E9" t="s">
        <v>28</v>
      </c>
      <c r="F9" t="s">
        <v>40</v>
      </c>
      <c r="G9" t="s">
        <v>26</v>
      </c>
      <c r="H9" s="28">
        <v>1</v>
      </c>
      <c r="I9" t="s">
        <v>41</v>
      </c>
      <c r="J9" s="6" t="s">
        <v>28</v>
      </c>
      <c r="K9" s="6">
        <v>2</v>
      </c>
      <c r="L9" s="9" t="s">
        <v>72</v>
      </c>
      <c r="M9" t="s">
        <v>37</v>
      </c>
      <c r="N9" s="24" t="s">
        <v>28</v>
      </c>
      <c r="O9" t="s">
        <v>73</v>
      </c>
      <c r="P9" s="24">
        <v>45200</v>
      </c>
      <c r="Q9" t="s">
        <v>43</v>
      </c>
      <c r="R9" t="s">
        <v>69</v>
      </c>
      <c r="S9" t="s">
        <v>28</v>
      </c>
      <c r="T9" t="s">
        <v>28</v>
      </c>
      <c r="U9">
        <v>870.84</v>
      </c>
      <c r="V9" t="s">
        <v>28</v>
      </c>
      <c r="W9" s="8" t="s">
        <v>28</v>
      </c>
      <c r="X9" s="8" t="s">
        <v>28</v>
      </c>
      <c r="Y9" t="s">
        <v>28</v>
      </c>
      <c r="Z9">
        <v>870.84</v>
      </c>
      <c r="AA9">
        <f>IF(MainImport[[#This Row],[E/I]]="Import", MONTH(MainImport[[#This Row],[ETA]]), MONTH(MainImport[[#This Row],[ETD]]))</f>
        <v>10</v>
      </c>
      <c r="AB9">
        <f>IF(MainImport[[#This Row],[E/I]]="Import", YEAR(MainImport[[#This Row],[ETA]]), YEAR(MainImport[[#This Row],[ETD]]))</f>
        <v>2023</v>
      </c>
    </row>
    <row r="10" spans="1:28" ht="19.8" customHeight="1" x14ac:dyDescent="0.3">
      <c r="A10" t="s">
        <v>145</v>
      </c>
      <c r="B10" t="s">
        <v>25</v>
      </c>
      <c r="C10" t="s">
        <v>921</v>
      </c>
      <c r="D10" t="s">
        <v>28</v>
      </c>
      <c r="E10" t="s">
        <v>28</v>
      </c>
      <c r="F10" t="s">
        <v>28</v>
      </c>
      <c r="G10" t="s">
        <v>26</v>
      </c>
      <c r="H10" s="28" t="s">
        <v>28</v>
      </c>
      <c r="I10" t="s">
        <v>28</v>
      </c>
      <c r="J10" s="6" t="s">
        <v>28</v>
      </c>
      <c r="K10" s="6" t="s">
        <v>28</v>
      </c>
      <c r="L10" s="9" t="s">
        <v>81</v>
      </c>
      <c r="M10" t="s">
        <v>37</v>
      </c>
      <c r="N10" s="24" t="s">
        <v>28</v>
      </c>
      <c r="O10" t="s">
        <v>28</v>
      </c>
      <c r="P10" s="24">
        <v>45200</v>
      </c>
      <c r="Q10" t="s">
        <v>28</v>
      </c>
      <c r="R10" t="s">
        <v>28</v>
      </c>
      <c r="S10" t="s">
        <v>28</v>
      </c>
      <c r="T10" t="s">
        <v>28</v>
      </c>
      <c r="U10">
        <v>822</v>
      </c>
      <c r="V10" t="s">
        <v>28</v>
      </c>
      <c r="W10" s="8" t="s">
        <v>28</v>
      </c>
      <c r="X10" s="8" t="s">
        <v>28</v>
      </c>
      <c r="Y10" t="s">
        <v>28</v>
      </c>
      <c r="Z10">
        <v>822</v>
      </c>
      <c r="AA10">
        <f>IF(MainImport[[#This Row],[E/I]]="Import", MONTH(MainImport[[#This Row],[ETA]]), MONTH(MainImport[[#This Row],[ETD]]))</f>
        <v>10</v>
      </c>
      <c r="AB10">
        <f>IF(MainImport[[#This Row],[E/I]]="Import", YEAR(MainImport[[#This Row],[ETA]]), YEAR(MainImport[[#This Row],[ETD]]))</f>
        <v>2023</v>
      </c>
    </row>
    <row r="11" spans="1:28" ht="19.8" customHeight="1" x14ac:dyDescent="0.3">
      <c r="A11" t="s">
        <v>154</v>
      </c>
      <c r="B11" t="s">
        <v>25</v>
      </c>
      <c r="C11" t="s">
        <v>949</v>
      </c>
      <c r="D11" t="s">
        <v>66</v>
      </c>
      <c r="E11" t="s">
        <v>28</v>
      </c>
      <c r="F11" t="s">
        <v>40</v>
      </c>
      <c r="G11" t="s">
        <v>26</v>
      </c>
      <c r="H11" s="28">
        <v>1</v>
      </c>
      <c r="I11" t="s">
        <v>41</v>
      </c>
      <c r="J11" s="6" t="s">
        <v>28</v>
      </c>
      <c r="K11" s="6">
        <v>2</v>
      </c>
      <c r="L11" s="9" t="s">
        <v>67</v>
      </c>
      <c r="M11" t="s">
        <v>37</v>
      </c>
      <c r="N11" s="24" t="s">
        <v>28</v>
      </c>
      <c r="O11" t="s">
        <v>42</v>
      </c>
      <c r="P11" s="24">
        <v>45200</v>
      </c>
      <c r="Q11" t="s">
        <v>43</v>
      </c>
      <c r="R11" t="s">
        <v>69</v>
      </c>
      <c r="S11" t="s">
        <v>28</v>
      </c>
      <c r="T11" t="s">
        <v>28</v>
      </c>
      <c r="U11">
        <v>6554.47</v>
      </c>
      <c r="V11" t="s">
        <v>28</v>
      </c>
      <c r="W11" s="8">
        <v>1000</v>
      </c>
      <c r="X11" s="8">
        <v>900</v>
      </c>
      <c r="Y11" t="s">
        <v>45</v>
      </c>
      <c r="Z11">
        <v>6554.47</v>
      </c>
      <c r="AA11">
        <f>IF(MainImport[[#This Row],[E/I]]="Import", MONTH(MainImport[[#This Row],[ETA]]), MONTH(MainImport[[#This Row],[ETD]]))</f>
        <v>10</v>
      </c>
      <c r="AB11">
        <f>IF(MainImport[[#This Row],[E/I]]="Import", YEAR(MainImport[[#This Row],[ETA]]), YEAR(MainImport[[#This Row],[ETD]]))</f>
        <v>2023</v>
      </c>
    </row>
    <row r="12" spans="1:28" ht="19.8" customHeight="1" x14ac:dyDescent="0.3">
      <c r="A12" t="s">
        <v>153</v>
      </c>
      <c r="B12" t="s">
        <v>25</v>
      </c>
      <c r="C12" t="s">
        <v>949</v>
      </c>
      <c r="D12" t="s">
        <v>71</v>
      </c>
      <c r="E12" t="s">
        <v>28</v>
      </c>
      <c r="F12" t="s">
        <v>28</v>
      </c>
      <c r="G12" t="s">
        <v>26</v>
      </c>
      <c r="H12" s="28">
        <v>1</v>
      </c>
      <c r="I12" t="s">
        <v>41</v>
      </c>
      <c r="J12" s="6" t="s">
        <v>28</v>
      </c>
      <c r="K12" s="6">
        <v>2</v>
      </c>
      <c r="L12" s="9" t="s">
        <v>70</v>
      </c>
      <c r="M12" t="s">
        <v>37</v>
      </c>
      <c r="N12" s="24" t="s">
        <v>28</v>
      </c>
      <c r="O12" t="s">
        <v>28</v>
      </c>
      <c r="P12" s="24">
        <v>45200</v>
      </c>
      <c r="Q12" t="s">
        <v>28</v>
      </c>
      <c r="R12" t="s">
        <v>69</v>
      </c>
      <c r="S12" t="s">
        <v>28</v>
      </c>
      <c r="T12" t="s">
        <v>28</v>
      </c>
      <c r="U12">
        <v>1589.88</v>
      </c>
      <c r="V12" t="s">
        <v>28</v>
      </c>
      <c r="W12" s="8" t="s">
        <v>28</v>
      </c>
      <c r="X12" s="8" t="s">
        <v>28</v>
      </c>
      <c r="Y12" t="s">
        <v>28</v>
      </c>
      <c r="Z12">
        <v>1589.88</v>
      </c>
      <c r="AA12">
        <f>IF(MainImport[[#This Row],[E/I]]="Import", MONTH(MainImport[[#This Row],[ETA]]), MONTH(MainImport[[#This Row],[ETD]]))</f>
        <v>10</v>
      </c>
      <c r="AB12">
        <f>IF(MainImport[[#This Row],[E/I]]="Import", YEAR(MainImport[[#This Row],[ETA]]), YEAR(MainImport[[#This Row],[ETD]]))</f>
        <v>2023</v>
      </c>
    </row>
    <row r="13" spans="1:28" ht="19.8" customHeight="1" x14ac:dyDescent="0.3">
      <c r="A13" t="s">
        <v>128</v>
      </c>
      <c r="B13" t="s">
        <v>25</v>
      </c>
      <c r="C13" t="s">
        <v>949</v>
      </c>
      <c r="D13" t="s">
        <v>64</v>
      </c>
      <c r="E13" t="s">
        <v>28</v>
      </c>
      <c r="F13" t="s">
        <v>40</v>
      </c>
      <c r="G13" t="s">
        <v>26</v>
      </c>
      <c r="H13" s="28">
        <v>2</v>
      </c>
      <c r="I13" t="s">
        <v>41</v>
      </c>
      <c r="J13" s="6" t="s">
        <v>28</v>
      </c>
      <c r="K13" s="6">
        <v>4</v>
      </c>
      <c r="L13" s="15" t="s">
        <v>65</v>
      </c>
      <c r="M13" t="s">
        <v>37</v>
      </c>
      <c r="N13" s="24" t="s">
        <v>28</v>
      </c>
      <c r="O13" t="s">
        <v>28</v>
      </c>
      <c r="P13" s="24">
        <v>45200</v>
      </c>
      <c r="Q13" t="s">
        <v>28</v>
      </c>
      <c r="R13" t="s">
        <v>69</v>
      </c>
      <c r="S13" t="s">
        <v>28</v>
      </c>
      <c r="T13" t="s">
        <v>28</v>
      </c>
      <c r="U13">
        <v>4617.3</v>
      </c>
      <c r="V13" t="s">
        <v>28</v>
      </c>
      <c r="W13" s="8" t="s">
        <v>28</v>
      </c>
      <c r="X13" s="8" t="s">
        <v>28</v>
      </c>
      <c r="Y13" t="s">
        <v>28</v>
      </c>
      <c r="Z13" t="s">
        <v>28</v>
      </c>
      <c r="AA13">
        <f>IF(MainImport[[#This Row],[E/I]]="Import", MONTH(MainImport[[#This Row],[ETA]]), MONTH(MainImport[[#This Row],[ETD]]))</f>
        <v>10</v>
      </c>
      <c r="AB13">
        <f>IF(MainImport[[#This Row],[E/I]]="Import", YEAR(MainImport[[#This Row],[ETA]]), YEAR(MainImport[[#This Row],[ETD]]))</f>
        <v>2023</v>
      </c>
    </row>
    <row r="14" spans="1:28" ht="19.8" customHeight="1" x14ac:dyDescent="0.3">
      <c r="A14" t="s">
        <v>116</v>
      </c>
      <c r="B14" t="s">
        <v>25</v>
      </c>
      <c r="C14" t="s">
        <v>915</v>
      </c>
      <c r="D14" t="s">
        <v>75</v>
      </c>
      <c r="E14" t="s">
        <v>50</v>
      </c>
      <c r="F14" t="s">
        <v>63</v>
      </c>
      <c r="G14" t="s">
        <v>29</v>
      </c>
      <c r="H14" s="28">
        <v>86</v>
      </c>
      <c r="I14" t="s">
        <v>51</v>
      </c>
      <c r="J14" s="6">
        <v>518.4</v>
      </c>
      <c r="K14" s="6">
        <v>5.0999999999999996</v>
      </c>
      <c r="L14" s="9" t="s">
        <v>28</v>
      </c>
      <c r="M14" t="s">
        <v>37</v>
      </c>
      <c r="N14" s="24">
        <v>45229</v>
      </c>
      <c r="O14" t="s">
        <v>28</v>
      </c>
      <c r="P14" s="24">
        <v>45259</v>
      </c>
      <c r="Q14" t="s">
        <v>43</v>
      </c>
      <c r="R14" t="s">
        <v>44</v>
      </c>
      <c r="S14" t="s">
        <v>28</v>
      </c>
      <c r="T14" t="s">
        <v>28</v>
      </c>
      <c r="U14" s="5">
        <v>408.43</v>
      </c>
      <c r="V14" t="s">
        <v>28</v>
      </c>
      <c r="W14" s="5" t="s">
        <v>139</v>
      </c>
      <c r="X14" s="8" t="s">
        <v>28</v>
      </c>
      <c r="Y14" t="s">
        <v>28</v>
      </c>
      <c r="Z14">
        <v>408.43</v>
      </c>
      <c r="AA14">
        <f>IF(MainImport[[#This Row],[E/I]]="Import", MONTH(MainImport[[#This Row],[ETA]]), MONTH(MainImport[[#This Row],[ETD]]))</f>
        <v>11</v>
      </c>
      <c r="AB14">
        <f>IF(MainImport[[#This Row],[E/I]]="Import", YEAR(MainImport[[#This Row],[ETA]]), YEAR(MainImport[[#This Row],[ETD]]))</f>
        <v>2023</v>
      </c>
    </row>
    <row r="15" spans="1:28" ht="19.8" customHeight="1" x14ac:dyDescent="0.3">
      <c r="A15" t="s">
        <v>199</v>
      </c>
      <c r="B15" t="s">
        <v>25</v>
      </c>
      <c r="C15" t="s">
        <v>906</v>
      </c>
      <c r="D15" t="s">
        <v>56</v>
      </c>
      <c r="E15" t="s">
        <v>28</v>
      </c>
      <c r="F15" t="s">
        <v>28</v>
      </c>
      <c r="G15" t="s">
        <v>29</v>
      </c>
      <c r="H15" s="28">
        <v>126</v>
      </c>
      <c r="I15" t="s">
        <v>51</v>
      </c>
      <c r="J15" s="6">
        <v>1379</v>
      </c>
      <c r="K15" s="6">
        <v>8.2710000000000008</v>
      </c>
      <c r="L15" s="9" t="s">
        <v>59</v>
      </c>
      <c r="M15" t="s">
        <v>37</v>
      </c>
      <c r="N15" s="24">
        <v>45243</v>
      </c>
      <c r="O15" t="s">
        <v>73</v>
      </c>
      <c r="P15" s="25">
        <v>45281</v>
      </c>
      <c r="Q15" t="s">
        <v>43</v>
      </c>
      <c r="R15" t="s">
        <v>197</v>
      </c>
      <c r="S15" t="s">
        <v>28</v>
      </c>
      <c r="T15" t="s">
        <v>28</v>
      </c>
      <c r="U15">
        <v>219.44</v>
      </c>
      <c r="V15" t="s">
        <v>28</v>
      </c>
      <c r="W15" s="5" t="s">
        <v>140</v>
      </c>
      <c r="X15" s="8" t="s">
        <v>28</v>
      </c>
      <c r="Y15" t="s">
        <v>28</v>
      </c>
      <c r="Z15">
        <v>219.44</v>
      </c>
      <c r="AA15">
        <f>IF(MainImport[[#This Row],[E/I]]="Import", MONTH(MainImport[[#This Row],[ETA]]), MONTH(MainImport[[#This Row],[ETD]]))</f>
        <v>12</v>
      </c>
      <c r="AB15">
        <f>IF(MainImport[[#This Row],[E/I]]="Import", YEAR(MainImport[[#This Row],[ETA]]), YEAR(MainImport[[#This Row],[ETD]]))</f>
        <v>2023</v>
      </c>
    </row>
    <row r="16" spans="1:28" ht="19.8" customHeight="1" x14ac:dyDescent="0.3">
      <c r="A16" t="s">
        <v>134</v>
      </c>
      <c r="B16" t="s">
        <v>25</v>
      </c>
      <c r="C16" t="s">
        <v>952</v>
      </c>
      <c r="D16" t="s">
        <v>97</v>
      </c>
      <c r="E16" t="s">
        <v>101</v>
      </c>
      <c r="F16" t="s">
        <v>40</v>
      </c>
      <c r="G16" t="s">
        <v>26</v>
      </c>
      <c r="H16" s="28">
        <v>1</v>
      </c>
      <c r="I16" t="s">
        <v>90</v>
      </c>
      <c r="J16" s="6" t="s">
        <v>28</v>
      </c>
      <c r="K16" s="6">
        <v>1</v>
      </c>
      <c r="L16" s="9" t="s">
        <v>105</v>
      </c>
      <c r="M16" t="s">
        <v>37</v>
      </c>
      <c r="N16" s="24">
        <v>45241</v>
      </c>
      <c r="O16" t="s">
        <v>99</v>
      </c>
      <c r="P16" s="24">
        <v>45284</v>
      </c>
      <c r="Q16" t="s">
        <v>43</v>
      </c>
      <c r="R16" t="s">
        <v>103</v>
      </c>
      <c r="S16" t="s">
        <v>28</v>
      </c>
      <c r="T16" t="s">
        <v>28</v>
      </c>
      <c r="U16">
        <v>459.54</v>
      </c>
      <c r="V16" t="s">
        <v>28</v>
      </c>
      <c r="W16" s="5" t="s">
        <v>141</v>
      </c>
      <c r="X16" s="8" t="s">
        <v>28</v>
      </c>
      <c r="Y16" t="s">
        <v>28</v>
      </c>
      <c r="Z16">
        <v>459.54</v>
      </c>
      <c r="AA16">
        <f>IF(MainImport[[#This Row],[E/I]]="Import", MONTH(MainImport[[#This Row],[ETA]]), MONTH(MainImport[[#This Row],[ETD]]))</f>
        <v>12</v>
      </c>
      <c r="AB16">
        <f>IF(MainImport[[#This Row],[E/I]]="Import", YEAR(MainImport[[#This Row],[ETA]]), YEAR(MainImport[[#This Row],[ETD]]))</f>
        <v>2023</v>
      </c>
    </row>
    <row r="17" spans="1:28" ht="19.8" customHeight="1" x14ac:dyDescent="0.3">
      <c r="A17" t="s">
        <v>182</v>
      </c>
      <c r="B17" t="s">
        <v>25</v>
      </c>
      <c r="C17" t="s">
        <v>937</v>
      </c>
      <c r="D17" t="s">
        <v>178</v>
      </c>
      <c r="E17" t="s">
        <v>28</v>
      </c>
      <c r="F17" t="s">
        <v>40</v>
      </c>
      <c r="G17" t="s">
        <v>29</v>
      </c>
      <c r="H17" s="28">
        <v>5</v>
      </c>
      <c r="I17" t="s">
        <v>60</v>
      </c>
      <c r="J17" s="6">
        <v>4920</v>
      </c>
      <c r="K17" s="6">
        <v>5.0999999999999996</v>
      </c>
      <c r="L17" s="9" t="s">
        <v>28</v>
      </c>
      <c r="M17" t="s">
        <v>37</v>
      </c>
      <c r="N17" s="24">
        <v>45237</v>
      </c>
      <c r="O17" t="s">
        <v>53</v>
      </c>
      <c r="P17" s="25">
        <v>45289</v>
      </c>
      <c r="Q17" t="s">
        <v>43</v>
      </c>
      <c r="R17" t="s">
        <v>44</v>
      </c>
      <c r="S17" t="s">
        <v>28</v>
      </c>
      <c r="T17" t="s">
        <v>28</v>
      </c>
      <c r="U17">
        <v>180.16</v>
      </c>
      <c r="V17" t="s">
        <v>28</v>
      </c>
      <c r="W17" s="5" t="s">
        <v>180</v>
      </c>
      <c r="X17" s="8" t="s">
        <v>28</v>
      </c>
      <c r="Y17" t="s">
        <v>176</v>
      </c>
      <c r="Z17">
        <v>180.16</v>
      </c>
      <c r="AA17">
        <f>IF(MainImport[[#This Row],[E/I]]="Import", MONTH(MainImport[[#This Row],[ETA]]), MONTH(MainImport[[#This Row],[ETD]]))</f>
        <v>12</v>
      </c>
      <c r="AB17">
        <f>IF(MainImport[[#This Row],[E/I]]="Import", YEAR(MainImport[[#This Row],[ETA]]), YEAR(MainImport[[#This Row],[ETD]]))</f>
        <v>2023</v>
      </c>
    </row>
    <row r="18" spans="1:28" ht="19.8" customHeight="1" x14ac:dyDescent="0.3">
      <c r="A18" t="s">
        <v>143</v>
      </c>
      <c r="B18" t="s">
        <v>25</v>
      </c>
      <c r="C18" t="s">
        <v>949</v>
      </c>
      <c r="D18" t="s">
        <v>240</v>
      </c>
      <c r="E18" t="s">
        <v>239</v>
      </c>
      <c r="F18" t="s">
        <v>28</v>
      </c>
      <c r="G18" t="s">
        <v>26</v>
      </c>
      <c r="H18" s="28">
        <v>1</v>
      </c>
      <c r="I18" t="s">
        <v>41</v>
      </c>
      <c r="J18" s="6" t="s">
        <v>28</v>
      </c>
      <c r="K18" s="6">
        <v>2</v>
      </c>
      <c r="L18" s="9" t="s">
        <v>68</v>
      </c>
      <c r="M18" t="s">
        <v>37</v>
      </c>
      <c r="N18" s="24" t="s">
        <v>28</v>
      </c>
      <c r="O18" t="s">
        <v>28</v>
      </c>
      <c r="P18" s="24">
        <v>45299</v>
      </c>
      <c r="Q18" t="s">
        <v>43</v>
      </c>
      <c r="R18" t="s">
        <v>69</v>
      </c>
      <c r="S18" t="s">
        <v>28</v>
      </c>
      <c r="T18" t="s">
        <v>28</v>
      </c>
      <c r="U18">
        <v>2597.4299999999998</v>
      </c>
      <c r="V18" t="s">
        <v>28</v>
      </c>
      <c r="W18" s="8" t="s">
        <v>28</v>
      </c>
      <c r="X18" s="8" t="s">
        <v>28</v>
      </c>
      <c r="Y18" t="s">
        <v>28</v>
      </c>
      <c r="Z18">
        <v>2597.4299999999998</v>
      </c>
      <c r="AA18">
        <f>IF(MainImport[[#This Row],[E/I]]="Import", MONTH(MainImport[[#This Row],[ETA]]), MONTH(MainImport[[#This Row],[ETD]]))</f>
        <v>1</v>
      </c>
      <c r="AB18">
        <f>IF(MainImport[[#This Row],[E/I]]="Import", YEAR(MainImport[[#This Row],[ETA]]), YEAR(MainImport[[#This Row],[ETD]]))</f>
        <v>2024</v>
      </c>
    </row>
    <row r="19" spans="1:28" ht="19.8" customHeight="1" x14ac:dyDescent="0.3">
      <c r="A19" t="s">
        <v>117</v>
      </c>
      <c r="B19" t="s">
        <v>25</v>
      </c>
      <c r="C19" t="s">
        <v>915</v>
      </c>
      <c r="D19" t="s">
        <v>219</v>
      </c>
      <c r="E19" t="s">
        <v>78</v>
      </c>
      <c r="F19" t="s">
        <v>28</v>
      </c>
      <c r="G19" t="s">
        <v>29</v>
      </c>
      <c r="H19" s="28">
        <v>148</v>
      </c>
      <c r="I19" t="s">
        <v>51</v>
      </c>
      <c r="J19" s="6">
        <v>2458</v>
      </c>
      <c r="K19" s="6">
        <v>6.63</v>
      </c>
      <c r="L19" s="9" t="s">
        <v>233</v>
      </c>
      <c r="M19" t="s">
        <v>37</v>
      </c>
      <c r="N19" s="24">
        <v>45242</v>
      </c>
      <c r="O19" t="s">
        <v>151</v>
      </c>
      <c r="P19" s="25">
        <v>45300</v>
      </c>
      <c r="Q19" t="s">
        <v>43</v>
      </c>
      <c r="R19" t="s">
        <v>44</v>
      </c>
      <c r="S19" t="s">
        <v>28</v>
      </c>
      <c r="T19" t="s">
        <v>28</v>
      </c>
      <c r="U19">
        <v>857.84</v>
      </c>
      <c r="V19" t="s">
        <v>28</v>
      </c>
      <c r="W19" s="5" t="s">
        <v>290</v>
      </c>
      <c r="X19" s="8" t="s">
        <v>28</v>
      </c>
      <c r="Y19" t="s">
        <v>28</v>
      </c>
      <c r="Z19">
        <v>857.84</v>
      </c>
      <c r="AA19">
        <f>IF(MainImport[[#This Row],[E/I]]="Import", MONTH(MainImport[[#This Row],[ETA]]), MONTH(MainImport[[#This Row],[ETD]]))</f>
        <v>1</v>
      </c>
      <c r="AB19">
        <f>IF(MainImport[[#This Row],[E/I]]="Import", YEAR(MainImport[[#This Row],[ETA]]), YEAR(MainImport[[#This Row],[ETD]]))</f>
        <v>2024</v>
      </c>
    </row>
    <row r="20" spans="1:28" ht="19.8" customHeight="1" x14ac:dyDescent="0.3">
      <c r="A20" t="s">
        <v>115</v>
      </c>
      <c r="B20" t="s">
        <v>25</v>
      </c>
      <c r="C20" t="s">
        <v>915</v>
      </c>
      <c r="D20" t="s">
        <v>113</v>
      </c>
      <c r="E20" t="s">
        <v>78</v>
      </c>
      <c r="F20" t="s">
        <v>28</v>
      </c>
      <c r="G20" t="s">
        <v>29</v>
      </c>
      <c r="H20" s="28">
        <v>5</v>
      </c>
      <c r="I20" t="s">
        <v>60</v>
      </c>
      <c r="J20" s="6">
        <v>1290</v>
      </c>
      <c r="K20" s="6">
        <v>9.6300000000000008</v>
      </c>
      <c r="L20" s="9" t="s">
        <v>114</v>
      </c>
      <c r="M20" t="s">
        <v>37</v>
      </c>
      <c r="N20" s="24">
        <v>45250</v>
      </c>
      <c r="O20" t="s">
        <v>150</v>
      </c>
      <c r="P20" s="24">
        <v>45300</v>
      </c>
      <c r="Q20" t="s">
        <v>149</v>
      </c>
      <c r="R20" t="s">
        <v>44</v>
      </c>
      <c r="S20" t="s">
        <v>28</v>
      </c>
      <c r="T20" t="s">
        <v>28</v>
      </c>
      <c r="U20">
        <v>587.94000000000005</v>
      </c>
      <c r="V20" t="s">
        <v>28</v>
      </c>
      <c r="W20" s="5" t="s">
        <v>157</v>
      </c>
      <c r="X20" s="8" t="s">
        <v>28</v>
      </c>
      <c r="Y20" t="s">
        <v>28</v>
      </c>
      <c r="Z20">
        <v>587.94000000000005</v>
      </c>
      <c r="AA20">
        <f>IF(MainImport[[#This Row],[E/I]]="Import", MONTH(MainImport[[#This Row],[ETA]]), MONTH(MainImport[[#This Row],[ETD]]))</f>
        <v>1</v>
      </c>
      <c r="AB20">
        <f>IF(MainImport[[#This Row],[E/I]]="Import", YEAR(MainImport[[#This Row],[ETA]]), YEAR(MainImport[[#This Row],[ETD]]))</f>
        <v>2024</v>
      </c>
    </row>
    <row r="21" spans="1:28" ht="19.8" customHeight="1" x14ac:dyDescent="0.3">
      <c r="A21" t="s">
        <v>112</v>
      </c>
      <c r="B21" t="s">
        <v>25</v>
      </c>
      <c r="C21" t="s">
        <v>906</v>
      </c>
      <c r="D21" t="s">
        <v>57</v>
      </c>
      <c r="E21" t="s">
        <v>50</v>
      </c>
      <c r="F21" t="s">
        <v>28</v>
      </c>
      <c r="G21" t="s">
        <v>29</v>
      </c>
      <c r="H21" s="28">
        <v>75</v>
      </c>
      <c r="I21" t="s">
        <v>60</v>
      </c>
      <c r="J21" s="6">
        <v>1000.15</v>
      </c>
      <c r="K21" s="6">
        <v>5.9</v>
      </c>
      <c r="L21" s="9" t="s">
        <v>61</v>
      </c>
      <c r="M21" t="s">
        <v>37</v>
      </c>
      <c r="N21" s="24">
        <v>45251</v>
      </c>
      <c r="O21" t="s">
        <v>62</v>
      </c>
      <c r="P21" s="25">
        <v>45301</v>
      </c>
      <c r="Q21" t="s">
        <v>43</v>
      </c>
      <c r="R21" t="s">
        <v>287</v>
      </c>
      <c r="S21" t="s">
        <v>28</v>
      </c>
      <c r="T21" t="s">
        <v>28</v>
      </c>
      <c r="U21">
        <v>-39.130000000000003</v>
      </c>
      <c r="V21" t="s">
        <v>28</v>
      </c>
      <c r="W21" s="5" t="s">
        <v>165</v>
      </c>
      <c r="X21" s="8" t="s">
        <v>28</v>
      </c>
      <c r="Y21" t="s">
        <v>28</v>
      </c>
      <c r="Z21">
        <v>-39.130000000000003</v>
      </c>
      <c r="AA21">
        <f>IF(MainImport[[#This Row],[E/I]]="Import", MONTH(MainImport[[#This Row],[ETA]]), MONTH(MainImport[[#This Row],[ETD]]))</f>
        <v>1</v>
      </c>
      <c r="AB21">
        <f>IF(MainImport[[#This Row],[E/I]]="Import", YEAR(MainImport[[#This Row],[ETA]]), YEAR(MainImport[[#This Row],[ETD]]))</f>
        <v>2024</v>
      </c>
    </row>
    <row r="22" spans="1:28" ht="19.8" customHeight="1" x14ac:dyDescent="0.3">
      <c r="A22" t="s">
        <v>123</v>
      </c>
      <c r="B22" t="s">
        <v>25</v>
      </c>
      <c r="C22" t="s">
        <v>934</v>
      </c>
      <c r="D22" t="s">
        <v>82</v>
      </c>
      <c r="E22" t="s">
        <v>50</v>
      </c>
      <c r="F22" t="s">
        <v>28</v>
      </c>
      <c r="G22" t="s">
        <v>29</v>
      </c>
      <c r="H22" s="28">
        <v>9</v>
      </c>
      <c r="I22" t="s">
        <v>83</v>
      </c>
      <c r="J22" s="6">
        <v>4322</v>
      </c>
      <c r="K22" s="6">
        <v>13.57</v>
      </c>
      <c r="L22" s="9" t="s">
        <v>28</v>
      </c>
      <c r="M22" t="s">
        <v>37</v>
      </c>
      <c r="N22" s="24">
        <v>45259</v>
      </c>
      <c r="O22" t="s">
        <v>53</v>
      </c>
      <c r="P22" s="24">
        <v>45302</v>
      </c>
      <c r="Q22" t="s">
        <v>43</v>
      </c>
      <c r="R22" t="s">
        <v>44</v>
      </c>
      <c r="S22" t="s">
        <v>28</v>
      </c>
      <c r="T22" t="s">
        <v>28</v>
      </c>
      <c r="U22">
        <v>71.58</v>
      </c>
      <c r="V22" t="s">
        <v>28</v>
      </c>
      <c r="W22" s="5" t="s">
        <v>142</v>
      </c>
      <c r="X22" s="8" t="s">
        <v>28</v>
      </c>
      <c r="Y22" t="s">
        <v>28</v>
      </c>
      <c r="Z22">
        <v>71.58</v>
      </c>
      <c r="AA22">
        <f>IF(MainImport[[#This Row],[E/I]]="Import", MONTH(MainImport[[#This Row],[ETA]]), MONTH(MainImport[[#This Row],[ETD]]))</f>
        <v>1</v>
      </c>
      <c r="AB22">
        <f>IF(MainImport[[#This Row],[E/I]]="Import", YEAR(MainImport[[#This Row],[ETA]]), YEAR(MainImport[[#This Row],[ETD]]))</f>
        <v>2024</v>
      </c>
    </row>
    <row r="23" spans="1:28" ht="19.8" customHeight="1" x14ac:dyDescent="0.3">
      <c r="A23" t="s">
        <v>110</v>
      </c>
      <c r="B23" t="s">
        <v>25</v>
      </c>
      <c r="C23" t="s">
        <v>905</v>
      </c>
      <c r="D23" t="s">
        <v>54</v>
      </c>
      <c r="E23" t="s">
        <v>50</v>
      </c>
      <c r="F23" t="s">
        <v>63</v>
      </c>
      <c r="G23" t="s">
        <v>29</v>
      </c>
      <c r="H23" s="28">
        <v>19</v>
      </c>
      <c r="I23" t="s">
        <v>51</v>
      </c>
      <c r="J23" s="6">
        <v>308.14999999999998</v>
      </c>
      <c r="K23" s="6">
        <v>1.4470000000000001</v>
      </c>
      <c r="L23" s="9" t="s">
        <v>55</v>
      </c>
      <c r="M23" t="s">
        <v>37</v>
      </c>
      <c r="N23" s="24">
        <v>45260</v>
      </c>
      <c r="O23" t="s">
        <v>28</v>
      </c>
      <c r="P23" s="25">
        <v>45302</v>
      </c>
      <c r="Q23" t="s">
        <v>43</v>
      </c>
      <c r="R23" t="s">
        <v>44</v>
      </c>
      <c r="S23" t="s">
        <v>28</v>
      </c>
      <c r="T23" t="s">
        <v>28</v>
      </c>
      <c r="U23">
        <v>594.35</v>
      </c>
      <c r="V23" t="s">
        <v>28</v>
      </c>
      <c r="W23" s="5" t="s">
        <v>156</v>
      </c>
      <c r="X23" s="8" t="s">
        <v>28</v>
      </c>
      <c r="Y23" t="s">
        <v>28</v>
      </c>
      <c r="Z23">
        <v>594.35</v>
      </c>
      <c r="AA23">
        <f>IF(MainImport[[#This Row],[E/I]]="Import", MONTH(MainImport[[#This Row],[ETA]]), MONTH(MainImport[[#This Row],[ETD]]))</f>
        <v>1</v>
      </c>
      <c r="AB23">
        <f>IF(MainImport[[#This Row],[E/I]]="Import", YEAR(MainImport[[#This Row],[ETA]]), YEAR(MainImport[[#This Row],[ETD]]))</f>
        <v>2024</v>
      </c>
    </row>
    <row r="24" spans="1:28" ht="19.8" customHeight="1" x14ac:dyDescent="0.3">
      <c r="A24" t="s">
        <v>111</v>
      </c>
      <c r="B24" t="s">
        <v>25</v>
      </c>
      <c r="C24" t="s">
        <v>905</v>
      </c>
      <c r="D24" t="s">
        <v>49</v>
      </c>
      <c r="E24" t="s">
        <v>50</v>
      </c>
      <c r="F24" t="s">
        <v>63</v>
      </c>
      <c r="G24" t="s">
        <v>29</v>
      </c>
      <c r="H24" s="28">
        <v>29</v>
      </c>
      <c r="I24" t="s">
        <v>51</v>
      </c>
      <c r="J24" s="6">
        <v>449</v>
      </c>
      <c r="K24" s="6">
        <v>2.59</v>
      </c>
      <c r="L24" s="9" t="s">
        <v>52</v>
      </c>
      <c r="M24" t="s">
        <v>37</v>
      </c>
      <c r="N24" s="24">
        <v>45258</v>
      </c>
      <c r="O24" t="s">
        <v>53</v>
      </c>
      <c r="P24" s="25">
        <v>45302</v>
      </c>
      <c r="Q24" t="s">
        <v>43</v>
      </c>
      <c r="R24" t="s">
        <v>44</v>
      </c>
      <c r="S24" t="s">
        <v>28</v>
      </c>
      <c r="T24" t="s">
        <v>28</v>
      </c>
      <c r="U24">
        <v>656.1</v>
      </c>
      <c r="V24" t="s">
        <v>28</v>
      </c>
      <c r="W24" s="5" t="s">
        <v>158</v>
      </c>
      <c r="X24" s="8" t="s">
        <v>28</v>
      </c>
      <c r="Y24" t="s">
        <v>28</v>
      </c>
      <c r="Z24">
        <v>656.1</v>
      </c>
      <c r="AA24">
        <f>IF(MainImport[[#This Row],[E/I]]="Import", MONTH(MainImport[[#This Row],[ETA]]), MONTH(MainImport[[#This Row],[ETD]]))</f>
        <v>1</v>
      </c>
      <c r="AB24">
        <f>IF(MainImport[[#This Row],[E/I]]="Import", YEAR(MainImport[[#This Row],[ETA]]), YEAR(MainImport[[#This Row],[ETD]]))</f>
        <v>2024</v>
      </c>
    </row>
    <row r="25" spans="1:28" ht="19.8" customHeight="1" x14ac:dyDescent="0.3">
      <c r="A25" t="s">
        <v>130</v>
      </c>
      <c r="B25" t="s">
        <v>25</v>
      </c>
      <c r="C25" t="s">
        <v>947</v>
      </c>
      <c r="D25" t="s">
        <v>92</v>
      </c>
      <c r="E25" t="s">
        <v>78</v>
      </c>
      <c r="F25" t="s">
        <v>28</v>
      </c>
      <c r="G25" t="s">
        <v>29</v>
      </c>
      <c r="H25" s="28">
        <v>8</v>
      </c>
      <c r="I25" t="s">
        <v>83</v>
      </c>
      <c r="J25" s="6">
        <v>4758.3599999999997</v>
      </c>
      <c r="K25" s="6">
        <v>5.94</v>
      </c>
      <c r="L25" s="9" t="s">
        <v>204</v>
      </c>
      <c r="M25" t="s">
        <v>37</v>
      </c>
      <c r="N25" s="24">
        <v>45251</v>
      </c>
      <c r="O25" t="s">
        <v>89</v>
      </c>
      <c r="P25" s="25">
        <v>45303</v>
      </c>
      <c r="Q25" t="s">
        <v>43</v>
      </c>
      <c r="R25" t="s">
        <v>288</v>
      </c>
      <c r="S25" t="s">
        <v>28</v>
      </c>
      <c r="T25" t="s">
        <v>28</v>
      </c>
      <c r="U25">
        <v>137.51</v>
      </c>
      <c r="V25" t="s">
        <v>28</v>
      </c>
      <c r="W25" s="5" t="s">
        <v>234</v>
      </c>
      <c r="X25" s="8" t="s">
        <v>28</v>
      </c>
      <c r="Y25" t="s">
        <v>28</v>
      </c>
      <c r="Z25">
        <v>137.51</v>
      </c>
      <c r="AA25">
        <f>IF(MainImport[[#This Row],[E/I]]="Import", MONTH(MainImport[[#This Row],[ETA]]), MONTH(MainImport[[#This Row],[ETD]]))</f>
        <v>1</v>
      </c>
      <c r="AB25">
        <f>IF(MainImport[[#This Row],[E/I]]="Import", YEAR(MainImport[[#This Row],[ETA]]), YEAR(MainImport[[#This Row],[ETD]]))</f>
        <v>2024</v>
      </c>
    </row>
    <row r="26" spans="1:28" ht="19.8" customHeight="1" x14ac:dyDescent="0.3">
      <c r="A26" t="s">
        <v>181</v>
      </c>
      <c r="B26" t="s">
        <v>25</v>
      </c>
      <c r="C26" t="s">
        <v>937</v>
      </c>
      <c r="D26" t="s">
        <v>174</v>
      </c>
      <c r="E26" t="s">
        <v>173</v>
      </c>
      <c r="F26" t="s">
        <v>40</v>
      </c>
      <c r="G26" t="s">
        <v>29</v>
      </c>
      <c r="H26" s="28" t="s">
        <v>28</v>
      </c>
      <c r="I26" t="s">
        <v>28</v>
      </c>
      <c r="J26" s="6">
        <v>5974</v>
      </c>
      <c r="K26" s="6">
        <v>7.62</v>
      </c>
      <c r="L26" s="9" t="s">
        <v>175</v>
      </c>
      <c r="M26" t="s">
        <v>37</v>
      </c>
      <c r="N26" s="24">
        <v>45234</v>
      </c>
      <c r="O26" t="s">
        <v>89</v>
      </c>
      <c r="P26" s="24">
        <v>45307</v>
      </c>
      <c r="Q26" t="s">
        <v>43</v>
      </c>
      <c r="R26" t="s">
        <v>44</v>
      </c>
      <c r="S26" t="s">
        <v>28</v>
      </c>
      <c r="T26" t="s">
        <v>28</v>
      </c>
      <c r="U26">
        <v>442.63</v>
      </c>
      <c r="V26" t="s">
        <v>28</v>
      </c>
      <c r="W26" s="5" t="s">
        <v>177</v>
      </c>
      <c r="X26" s="8" t="s">
        <v>28</v>
      </c>
      <c r="Y26" t="s">
        <v>176</v>
      </c>
      <c r="Z26">
        <v>442.63</v>
      </c>
      <c r="AA26">
        <f>IF(MainImport[[#This Row],[E/I]]="Import", MONTH(MainImport[[#This Row],[ETA]]), MONTH(MainImport[[#This Row],[ETD]]))</f>
        <v>1</v>
      </c>
      <c r="AB26">
        <f>IF(MainImport[[#This Row],[E/I]]="Import", YEAR(MainImport[[#This Row],[ETA]]), YEAR(MainImport[[#This Row],[ETD]]))</f>
        <v>2024</v>
      </c>
    </row>
    <row r="27" spans="1:28" ht="19.8" customHeight="1" x14ac:dyDescent="0.3">
      <c r="A27" t="s">
        <v>135</v>
      </c>
      <c r="B27" t="s">
        <v>25</v>
      </c>
      <c r="C27" t="s">
        <v>952</v>
      </c>
      <c r="D27" t="s">
        <v>296</v>
      </c>
      <c r="E27" t="s">
        <v>101</v>
      </c>
      <c r="F27" t="s">
        <v>40</v>
      </c>
      <c r="G27" t="s">
        <v>26</v>
      </c>
      <c r="H27" s="28">
        <v>1</v>
      </c>
      <c r="I27" t="s">
        <v>41</v>
      </c>
      <c r="J27" s="6">
        <v>5623</v>
      </c>
      <c r="K27" s="6">
        <v>2</v>
      </c>
      <c r="L27" s="9" t="s">
        <v>106</v>
      </c>
      <c r="M27" t="s">
        <v>37</v>
      </c>
      <c r="N27" s="24">
        <v>45250</v>
      </c>
      <c r="O27" t="s">
        <v>96</v>
      </c>
      <c r="P27" s="24">
        <v>45309</v>
      </c>
      <c r="Q27" t="s">
        <v>43</v>
      </c>
      <c r="R27" t="s">
        <v>103</v>
      </c>
      <c r="S27" t="s">
        <v>28</v>
      </c>
      <c r="T27" t="s">
        <v>28</v>
      </c>
      <c r="U27">
        <v>524.38</v>
      </c>
      <c r="V27" t="s">
        <v>28</v>
      </c>
      <c r="W27" s="5" t="s">
        <v>155</v>
      </c>
      <c r="X27" s="8" t="s">
        <v>28</v>
      </c>
      <c r="Y27" t="s">
        <v>28</v>
      </c>
      <c r="Z27">
        <v>524.38</v>
      </c>
      <c r="AA27">
        <f>IF(MainImport[[#This Row],[E/I]]="Import", MONTH(MainImport[[#This Row],[ETA]]), MONTH(MainImport[[#This Row],[ETD]]))</f>
        <v>1</v>
      </c>
      <c r="AB27">
        <f>IF(MainImport[[#This Row],[E/I]]="Import", YEAR(MainImport[[#This Row],[ETA]]), YEAR(MainImport[[#This Row],[ETD]]))</f>
        <v>2024</v>
      </c>
    </row>
    <row r="28" spans="1:28" ht="19.8" customHeight="1" x14ac:dyDescent="0.3">
      <c r="A28" t="s">
        <v>138</v>
      </c>
      <c r="B28" t="s">
        <v>25</v>
      </c>
      <c r="C28" t="s">
        <v>952</v>
      </c>
      <c r="D28" t="s">
        <v>191</v>
      </c>
      <c r="E28" t="s">
        <v>107</v>
      </c>
      <c r="F28" t="s">
        <v>40</v>
      </c>
      <c r="G28" t="s">
        <v>26</v>
      </c>
      <c r="H28" s="28">
        <v>1</v>
      </c>
      <c r="I28" t="s">
        <v>90</v>
      </c>
      <c r="J28" s="6">
        <v>13798</v>
      </c>
      <c r="K28" s="6">
        <v>1</v>
      </c>
      <c r="L28" s="9" t="s">
        <v>98</v>
      </c>
      <c r="M28" t="s">
        <v>37</v>
      </c>
      <c r="N28" s="24">
        <v>45244</v>
      </c>
      <c r="O28" t="s">
        <v>99</v>
      </c>
      <c r="P28" s="24">
        <v>45311</v>
      </c>
      <c r="Q28" t="s">
        <v>43</v>
      </c>
      <c r="R28" t="s">
        <v>103</v>
      </c>
      <c r="S28" t="s">
        <v>28</v>
      </c>
      <c r="T28" t="s">
        <v>28</v>
      </c>
      <c r="U28">
        <v>701.89</v>
      </c>
      <c r="V28" t="s">
        <v>28</v>
      </c>
      <c r="W28" s="5" t="s">
        <v>160</v>
      </c>
      <c r="X28" s="8" t="s">
        <v>28</v>
      </c>
      <c r="Y28" t="s">
        <v>28</v>
      </c>
      <c r="Z28">
        <v>701.89</v>
      </c>
      <c r="AA28">
        <f>IF(MainImport[[#This Row],[E/I]]="Import", MONTH(MainImport[[#This Row],[ETA]]), MONTH(MainImport[[#This Row],[ETD]]))</f>
        <v>1</v>
      </c>
      <c r="AB28">
        <f>IF(MainImport[[#This Row],[E/I]]="Import", YEAR(MainImport[[#This Row],[ETA]]), YEAR(MainImport[[#This Row],[ETD]]))</f>
        <v>2024</v>
      </c>
    </row>
    <row r="29" spans="1:28" ht="19.8" customHeight="1" x14ac:dyDescent="0.3">
      <c r="A29" t="s">
        <v>118</v>
      </c>
      <c r="B29" t="s">
        <v>25</v>
      </c>
      <c r="C29" t="s">
        <v>915</v>
      </c>
      <c r="D29" t="s">
        <v>119</v>
      </c>
      <c r="E29" t="s">
        <v>78</v>
      </c>
      <c r="F29" t="s">
        <v>28</v>
      </c>
      <c r="G29" t="s">
        <v>29</v>
      </c>
      <c r="H29" s="28">
        <v>162</v>
      </c>
      <c r="I29" t="s">
        <v>80</v>
      </c>
      <c r="J29" s="6">
        <v>1620</v>
      </c>
      <c r="K29" s="6">
        <v>12.18</v>
      </c>
      <c r="L29" s="9" t="s">
        <v>276</v>
      </c>
      <c r="M29" t="s">
        <v>37</v>
      </c>
      <c r="N29" s="24">
        <v>45253</v>
      </c>
      <c r="O29" t="s">
        <v>99</v>
      </c>
      <c r="P29" s="25">
        <v>45315</v>
      </c>
      <c r="Q29" t="s">
        <v>43</v>
      </c>
      <c r="R29" t="s">
        <v>44</v>
      </c>
      <c r="S29" t="s">
        <v>28</v>
      </c>
      <c r="T29" t="s">
        <v>28</v>
      </c>
      <c r="U29">
        <v>1058.4000000000001</v>
      </c>
      <c r="V29" t="s">
        <v>28</v>
      </c>
      <c r="W29" s="5" t="s">
        <v>79</v>
      </c>
      <c r="X29" s="8" t="s">
        <v>28</v>
      </c>
      <c r="Y29" t="s">
        <v>28</v>
      </c>
      <c r="Z29">
        <v>1058.4000000000001</v>
      </c>
      <c r="AA29">
        <f>IF(MainImport[[#This Row],[E/I]]="Import", MONTH(MainImport[[#This Row],[ETA]]), MONTH(MainImport[[#This Row],[ETD]]))</f>
        <v>1</v>
      </c>
      <c r="AB29">
        <f>IF(MainImport[[#This Row],[E/I]]="Import", YEAR(MainImport[[#This Row],[ETA]]), YEAR(MainImport[[#This Row],[ETD]]))</f>
        <v>2024</v>
      </c>
    </row>
    <row r="30" spans="1:28" ht="19.8" customHeight="1" x14ac:dyDescent="0.3">
      <c r="A30" t="s">
        <v>121</v>
      </c>
      <c r="B30" t="s">
        <v>25</v>
      </c>
      <c r="C30" t="s">
        <v>915</v>
      </c>
      <c r="D30" t="s">
        <v>76</v>
      </c>
      <c r="E30" t="s">
        <v>50</v>
      </c>
      <c r="F30" t="s">
        <v>40</v>
      </c>
      <c r="G30" t="s">
        <v>29</v>
      </c>
      <c r="H30" s="28">
        <v>13</v>
      </c>
      <c r="I30" t="s">
        <v>60</v>
      </c>
      <c r="J30" s="6">
        <v>212</v>
      </c>
      <c r="K30" s="6">
        <v>1.843</v>
      </c>
      <c r="L30" s="9" t="s">
        <v>179</v>
      </c>
      <c r="M30" t="s">
        <v>37</v>
      </c>
      <c r="N30" s="24">
        <v>45264</v>
      </c>
      <c r="O30" t="s">
        <v>73</v>
      </c>
      <c r="P30" s="25">
        <v>45316</v>
      </c>
      <c r="Q30" t="s">
        <v>43</v>
      </c>
      <c r="R30" t="s">
        <v>44</v>
      </c>
      <c r="S30" t="s">
        <v>28</v>
      </c>
      <c r="T30" t="s">
        <v>28</v>
      </c>
      <c r="U30" s="17">
        <v>697.92</v>
      </c>
      <c r="V30" t="s">
        <v>28</v>
      </c>
      <c r="W30" s="5" t="s">
        <v>159</v>
      </c>
      <c r="X30" s="8" t="s">
        <v>28</v>
      </c>
      <c r="Y30" t="s">
        <v>28</v>
      </c>
      <c r="Z30">
        <v>697.92</v>
      </c>
      <c r="AA30">
        <f>IF(MainImport[[#This Row],[E/I]]="Import", MONTH(MainImport[[#This Row],[ETA]]), MONTH(MainImport[[#This Row],[ETD]]))</f>
        <v>1</v>
      </c>
      <c r="AB30">
        <f>IF(MainImport[[#This Row],[E/I]]="Import", YEAR(MainImport[[#This Row],[ETA]]), YEAR(MainImport[[#This Row],[ETD]]))</f>
        <v>2024</v>
      </c>
    </row>
    <row r="31" spans="1:28" ht="19.8" customHeight="1" x14ac:dyDescent="0.3">
      <c r="A31" t="s">
        <v>324</v>
      </c>
      <c r="B31" t="s">
        <v>25</v>
      </c>
      <c r="C31" t="s">
        <v>914</v>
      </c>
      <c r="D31" t="s">
        <v>331</v>
      </c>
      <c r="E31" t="s">
        <v>50</v>
      </c>
      <c r="F31" t="s">
        <v>63</v>
      </c>
      <c r="G31" t="s">
        <v>29</v>
      </c>
      <c r="H31" s="28">
        <v>20</v>
      </c>
      <c r="I31" t="s">
        <v>51</v>
      </c>
      <c r="J31" s="6">
        <v>299</v>
      </c>
      <c r="K31" s="6">
        <v>1.1499999999999999</v>
      </c>
      <c r="L31" s="9" t="s">
        <v>28</v>
      </c>
      <c r="M31" t="s">
        <v>37</v>
      </c>
      <c r="N31" s="24">
        <v>45311</v>
      </c>
      <c r="O31" t="s">
        <v>28</v>
      </c>
      <c r="P31" s="24">
        <v>45320</v>
      </c>
      <c r="Q31" t="s">
        <v>194</v>
      </c>
      <c r="R31" t="s">
        <v>382</v>
      </c>
      <c r="S31" t="s">
        <v>28</v>
      </c>
      <c r="T31" t="s">
        <v>28</v>
      </c>
      <c r="U31" s="17">
        <v>4220.42</v>
      </c>
      <c r="V31" t="s">
        <v>28</v>
      </c>
      <c r="W31" s="5" t="s">
        <v>392</v>
      </c>
      <c r="X31" s="5" t="s">
        <v>323</v>
      </c>
      <c r="Y31" t="s">
        <v>28</v>
      </c>
      <c r="Z31">
        <v>4220.42</v>
      </c>
      <c r="AA31">
        <f>IF(MainImport[[#This Row],[E/I]]="Import", MONTH(MainImport[[#This Row],[ETA]]), MONTH(MainImport[[#This Row],[ETD]]))</f>
        <v>1</v>
      </c>
      <c r="AB31">
        <f>IF(MainImport[[#This Row],[E/I]]="Import", YEAR(MainImport[[#This Row],[ETA]]), YEAR(MainImport[[#This Row],[ETD]]))</f>
        <v>2024</v>
      </c>
    </row>
    <row r="32" spans="1:28" ht="19.8" customHeight="1" x14ac:dyDescent="0.3">
      <c r="A32" t="s">
        <v>124</v>
      </c>
      <c r="B32" t="s">
        <v>25</v>
      </c>
      <c r="C32" t="s">
        <v>930</v>
      </c>
      <c r="D32" t="s">
        <v>200</v>
      </c>
      <c r="E32" t="s">
        <v>101</v>
      </c>
      <c r="F32" t="s">
        <v>63</v>
      </c>
      <c r="G32" t="s">
        <v>26</v>
      </c>
      <c r="H32" s="28">
        <v>1</v>
      </c>
      <c r="I32" t="s">
        <v>41</v>
      </c>
      <c r="J32" s="6">
        <v>4185</v>
      </c>
      <c r="K32" s="6">
        <v>2</v>
      </c>
      <c r="L32" s="9" t="s">
        <v>172</v>
      </c>
      <c r="M32" t="s">
        <v>37</v>
      </c>
      <c r="N32" s="24">
        <v>45272</v>
      </c>
      <c r="O32" t="s">
        <v>62</v>
      </c>
      <c r="P32" s="24">
        <v>45323</v>
      </c>
      <c r="Q32" t="s">
        <v>43</v>
      </c>
      <c r="R32" t="s">
        <v>28</v>
      </c>
      <c r="S32" t="s">
        <v>28</v>
      </c>
      <c r="T32" t="s">
        <v>28</v>
      </c>
      <c r="U32" s="17">
        <v>48.08</v>
      </c>
      <c r="V32" t="s">
        <v>28</v>
      </c>
      <c r="W32" s="5" t="s">
        <v>360</v>
      </c>
      <c r="X32" s="8" t="s">
        <v>28</v>
      </c>
      <c r="Y32" t="s">
        <v>28</v>
      </c>
      <c r="Z32">
        <v>48.08</v>
      </c>
      <c r="AA32">
        <f>IF(MainImport[[#This Row],[E/I]]="Import", MONTH(MainImport[[#This Row],[ETA]]), MONTH(MainImport[[#This Row],[ETD]]))</f>
        <v>2</v>
      </c>
      <c r="AB32">
        <f>IF(MainImport[[#This Row],[E/I]]="Import", YEAR(MainImport[[#This Row],[ETA]]), YEAR(MainImport[[#This Row],[ETD]]))</f>
        <v>2024</v>
      </c>
    </row>
    <row r="33" spans="1:28" ht="19.8" customHeight="1" x14ac:dyDescent="0.3">
      <c r="A33" t="s">
        <v>131</v>
      </c>
      <c r="B33" t="s">
        <v>25</v>
      </c>
      <c r="C33" t="s">
        <v>947</v>
      </c>
      <c r="D33" t="s">
        <v>108</v>
      </c>
      <c r="E33" t="s">
        <v>101</v>
      </c>
      <c r="F33" t="s">
        <v>40</v>
      </c>
      <c r="G33" t="s">
        <v>26</v>
      </c>
      <c r="H33" s="28">
        <v>1</v>
      </c>
      <c r="I33" t="s">
        <v>90</v>
      </c>
      <c r="J33" s="30">
        <v>19100</v>
      </c>
      <c r="K33" s="6">
        <v>1</v>
      </c>
      <c r="L33" s="9" t="s">
        <v>190</v>
      </c>
      <c r="M33" t="s">
        <v>37</v>
      </c>
      <c r="N33" s="24">
        <v>45270</v>
      </c>
      <c r="O33" t="s">
        <v>89</v>
      </c>
      <c r="P33" s="24">
        <v>45323</v>
      </c>
      <c r="Q33" t="s">
        <v>43</v>
      </c>
      <c r="R33" t="s">
        <v>28</v>
      </c>
      <c r="S33" t="s">
        <v>28</v>
      </c>
      <c r="T33" t="s">
        <v>28</v>
      </c>
      <c r="U33">
        <v>721.48</v>
      </c>
      <c r="V33" t="s">
        <v>28</v>
      </c>
      <c r="W33" s="5" t="s">
        <v>91</v>
      </c>
      <c r="X33" s="8" t="s">
        <v>28</v>
      </c>
      <c r="Y33" t="s">
        <v>28</v>
      </c>
      <c r="Z33">
        <v>721.48</v>
      </c>
      <c r="AA33">
        <f>IF(MainImport[[#This Row],[E/I]]="Import", MONTH(MainImport[[#This Row],[ETA]]), MONTH(MainImport[[#This Row],[ETD]]))</f>
        <v>2</v>
      </c>
      <c r="AB33">
        <f>IF(MainImport[[#This Row],[E/I]]="Import", YEAR(MainImport[[#This Row],[ETA]]), YEAR(MainImport[[#This Row],[ETD]]))</f>
        <v>2024</v>
      </c>
    </row>
    <row r="34" spans="1:28" ht="19.8" customHeight="1" x14ac:dyDescent="0.3">
      <c r="A34" t="s">
        <v>137</v>
      </c>
      <c r="B34" t="s">
        <v>25</v>
      </c>
      <c r="C34" t="s">
        <v>952</v>
      </c>
      <c r="D34" t="s">
        <v>185</v>
      </c>
      <c r="E34" t="s">
        <v>101</v>
      </c>
      <c r="F34" t="s">
        <v>40</v>
      </c>
      <c r="G34" t="s">
        <v>26</v>
      </c>
      <c r="H34" s="28">
        <v>1</v>
      </c>
      <c r="I34" t="s">
        <v>90</v>
      </c>
      <c r="J34" s="6">
        <v>6045.04</v>
      </c>
      <c r="K34" s="6">
        <v>1</v>
      </c>
      <c r="L34" s="9" t="s">
        <v>186</v>
      </c>
      <c r="M34" t="s">
        <v>37</v>
      </c>
      <c r="N34" s="24">
        <v>45282</v>
      </c>
      <c r="O34" t="s">
        <v>53</v>
      </c>
      <c r="P34" s="24">
        <v>45323</v>
      </c>
      <c r="Q34" t="s">
        <v>43</v>
      </c>
      <c r="R34" t="s">
        <v>103</v>
      </c>
      <c r="S34" t="s">
        <v>28</v>
      </c>
      <c r="T34" t="s">
        <v>28</v>
      </c>
      <c r="U34">
        <v>576.12</v>
      </c>
      <c r="V34" t="s">
        <v>28</v>
      </c>
      <c r="W34" s="5" t="s">
        <v>104</v>
      </c>
      <c r="X34" s="8" t="s">
        <v>28</v>
      </c>
      <c r="Y34" t="s">
        <v>28</v>
      </c>
      <c r="Z34">
        <v>576.12</v>
      </c>
      <c r="AA34">
        <f>IF(MainImport[[#This Row],[E/I]]="Import", MONTH(MainImport[[#This Row],[ETA]]), MONTH(MainImport[[#This Row],[ETD]]))</f>
        <v>2</v>
      </c>
      <c r="AB34">
        <f>IF(MainImport[[#This Row],[E/I]]="Import", YEAR(MainImport[[#This Row],[ETA]]), YEAR(MainImport[[#This Row],[ETD]]))</f>
        <v>2024</v>
      </c>
    </row>
    <row r="35" spans="1:28" ht="19.8" customHeight="1" x14ac:dyDescent="0.3">
      <c r="A35" t="s">
        <v>133</v>
      </c>
      <c r="B35" t="s">
        <v>25</v>
      </c>
      <c r="C35" t="s">
        <v>951</v>
      </c>
      <c r="D35" t="s">
        <v>202</v>
      </c>
      <c r="E35" t="s">
        <v>101</v>
      </c>
      <c r="F35" t="s">
        <v>40</v>
      </c>
      <c r="G35" t="s">
        <v>26</v>
      </c>
      <c r="H35" s="28">
        <v>1</v>
      </c>
      <c r="I35" t="s">
        <v>90</v>
      </c>
      <c r="J35" s="6">
        <v>12983.33</v>
      </c>
      <c r="K35" s="6">
        <v>1</v>
      </c>
      <c r="L35" s="9" t="s">
        <v>231</v>
      </c>
      <c r="M35" t="s">
        <v>37</v>
      </c>
      <c r="N35" s="24">
        <v>45282</v>
      </c>
      <c r="O35" t="s">
        <v>53</v>
      </c>
      <c r="P35" s="24">
        <v>45323</v>
      </c>
      <c r="Q35" t="s">
        <v>43</v>
      </c>
      <c r="R35" t="s">
        <v>93</v>
      </c>
      <c r="S35" t="s">
        <v>28</v>
      </c>
      <c r="T35" t="s">
        <v>28</v>
      </c>
      <c r="U35">
        <v>837.01</v>
      </c>
      <c r="V35" t="s">
        <v>28</v>
      </c>
      <c r="W35" s="5" t="s">
        <v>94</v>
      </c>
      <c r="X35" s="8" t="s">
        <v>28</v>
      </c>
      <c r="Y35" t="s">
        <v>28</v>
      </c>
      <c r="Z35">
        <v>837.01</v>
      </c>
      <c r="AA35">
        <f>IF(MainImport[[#This Row],[E/I]]="Import", MONTH(MainImport[[#This Row],[ETA]]), MONTH(MainImport[[#This Row],[ETD]]))</f>
        <v>2</v>
      </c>
      <c r="AB35">
        <f>IF(MainImport[[#This Row],[E/I]]="Import", YEAR(MainImport[[#This Row],[ETA]]), YEAR(MainImport[[#This Row],[ETD]]))</f>
        <v>2024</v>
      </c>
    </row>
    <row r="36" spans="1:28" ht="19.8" customHeight="1" x14ac:dyDescent="0.3">
      <c r="A36" t="s">
        <v>127</v>
      </c>
      <c r="B36" t="s">
        <v>25</v>
      </c>
      <c r="C36" t="s">
        <v>938</v>
      </c>
      <c r="D36" t="s">
        <v>88</v>
      </c>
      <c r="E36" t="s">
        <v>78</v>
      </c>
      <c r="F36" t="s">
        <v>28</v>
      </c>
      <c r="G36" t="s">
        <v>29</v>
      </c>
      <c r="H36" s="28">
        <v>4</v>
      </c>
      <c r="I36" t="s">
        <v>83</v>
      </c>
      <c r="J36" s="6">
        <v>3669</v>
      </c>
      <c r="K36" s="6">
        <v>9.0589999999999993</v>
      </c>
      <c r="L36" s="9" t="s">
        <v>28</v>
      </c>
      <c r="M36" t="s">
        <v>37</v>
      </c>
      <c r="N36" s="24">
        <v>45245</v>
      </c>
      <c r="O36" t="s">
        <v>109</v>
      </c>
      <c r="P36" s="25">
        <v>45323</v>
      </c>
      <c r="Q36" t="s">
        <v>43</v>
      </c>
      <c r="R36" t="s">
        <v>44</v>
      </c>
      <c r="S36" t="s">
        <v>28</v>
      </c>
      <c r="T36" t="s">
        <v>28</v>
      </c>
      <c r="U36" s="17">
        <v>1436.77</v>
      </c>
      <c r="V36" t="s">
        <v>28</v>
      </c>
      <c r="W36" s="5" t="s">
        <v>161</v>
      </c>
      <c r="X36" s="8" t="s">
        <v>28</v>
      </c>
      <c r="Y36" t="s">
        <v>28</v>
      </c>
      <c r="Z36">
        <v>1436.77</v>
      </c>
      <c r="AA36">
        <f>IF(MainImport[[#This Row],[E/I]]="Import", MONTH(MainImport[[#This Row],[ETA]]), MONTH(MainImport[[#This Row],[ETD]]))</f>
        <v>2</v>
      </c>
      <c r="AB36">
        <f>IF(MainImport[[#This Row],[E/I]]="Import", YEAR(MainImport[[#This Row],[ETA]]), YEAR(MainImport[[#This Row],[ETD]]))</f>
        <v>2024</v>
      </c>
    </row>
    <row r="37" spans="1:28" ht="19.8" customHeight="1" x14ac:dyDescent="0.3">
      <c r="A37" t="s">
        <v>196</v>
      </c>
      <c r="B37" t="s">
        <v>25</v>
      </c>
      <c r="C37" t="s">
        <v>931</v>
      </c>
      <c r="D37" s="11" t="s">
        <v>439</v>
      </c>
      <c r="E37" t="s">
        <v>78</v>
      </c>
      <c r="F37" t="s">
        <v>28</v>
      </c>
      <c r="G37" t="s">
        <v>29</v>
      </c>
      <c r="H37" s="28">
        <v>11</v>
      </c>
      <c r="I37" t="s">
        <v>51</v>
      </c>
      <c r="J37" s="6">
        <v>3812</v>
      </c>
      <c r="K37" s="6">
        <v>15.692</v>
      </c>
      <c r="L37" s="9" t="s">
        <v>235</v>
      </c>
      <c r="M37" t="s">
        <v>37</v>
      </c>
      <c r="N37" s="24">
        <v>45271</v>
      </c>
      <c r="O37" t="s">
        <v>96</v>
      </c>
      <c r="P37" s="25">
        <v>45324</v>
      </c>
      <c r="Q37" t="s">
        <v>43</v>
      </c>
      <c r="R37" t="s">
        <v>44</v>
      </c>
      <c r="S37" t="s">
        <v>28</v>
      </c>
      <c r="T37" t="s">
        <v>28</v>
      </c>
      <c r="U37" s="5">
        <v>2499.6999999999998</v>
      </c>
      <c r="V37" t="s">
        <v>28</v>
      </c>
      <c r="W37" s="5" t="s">
        <v>195</v>
      </c>
      <c r="X37" s="8" t="s">
        <v>28</v>
      </c>
      <c r="Y37" t="s">
        <v>28</v>
      </c>
      <c r="Z37">
        <v>2499.6999999999998</v>
      </c>
      <c r="AA37">
        <f>IF(MainImport[[#This Row],[E/I]]="Import", MONTH(MainImport[[#This Row],[ETA]]), MONTH(MainImport[[#This Row],[ETD]]))</f>
        <v>2</v>
      </c>
      <c r="AB37">
        <f>IF(MainImport[[#This Row],[E/I]]="Import", YEAR(MainImport[[#This Row],[ETA]]), YEAR(MainImport[[#This Row],[ETD]]))</f>
        <v>2024</v>
      </c>
    </row>
    <row r="38" spans="1:28" ht="19.8" customHeight="1" x14ac:dyDescent="0.3">
      <c r="A38" t="s">
        <v>120</v>
      </c>
      <c r="B38" t="s">
        <v>25</v>
      </c>
      <c r="C38" t="s">
        <v>915</v>
      </c>
      <c r="D38" s="4" t="s">
        <v>183</v>
      </c>
      <c r="E38" t="s">
        <v>78</v>
      </c>
      <c r="F38" t="s">
        <v>40</v>
      </c>
      <c r="G38" t="s">
        <v>29</v>
      </c>
      <c r="H38" s="28">
        <v>8</v>
      </c>
      <c r="I38" t="s">
        <v>83</v>
      </c>
      <c r="J38" s="6">
        <v>1281</v>
      </c>
      <c r="K38" s="6">
        <v>12.1</v>
      </c>
      <c r="L38" s="9" t="s">
        <v>184</v>
      </c>
      <c r="M38" t="s">
        <v>37</v>
      </c>
      <c r="N38" s="24">
        <v>45269</v>
      </c>
      <c r="O38" t="s">
        <v>150</v>
      </c>
      <c r="P38" s="25">
        <v>45327</v>
      </c>
      <c r="Q38" t="s">
        <v>43</v>
      </c>
      <c r="R38" t="s">
        <v>44</v>
      </c>
      <c r="S38" t="s">
        <v>28</v>
      </c>
      <c r="T38" t="s">
        <v>28</v>
      </c>
      <c r="U38" s="17">
        <v>2985.89</v>
      </c>
      <c r="V38" t="s">
        <v>28</v>
      </c>
      <c r="W38" s="5" t="s">
        <v>162</v>
      </c>
      <c r="X38" s="8" t="s">
        <v>28</v>
      </c>
      <c r="Y38" t="s">
        <v>28</v>
      </c>
      <c r="Z38">
        <v>2985.89</v>
      </c>
      <c r="AA38">
        <f>IF(MainImport[[#This Row],[E/I]]="Import", MONTH(MainImport[[#This Row],[ETA]]), MONTH(MainImport[[#This Row],[ETD]]))</f>
        <v>2</v>
      </c>
      <c r="AB38">
        <f>IF(MainImport[[#This Row],[E/I]]="Import", YEAR(MainImport[[#This Row],[ETA]]), YEAR(MainImport[[#This Row],[ETD]]))</f>
        <v>2024</v>
      </c>
    </row>
    <row r="39" spans="1:28" ht="17.399999999999999" customHeight="1" x14ac:dyDescent="0.3">
      <c r="A39" t="s">
        <v>132</v>
      </c>
      <c r="B39" t="s">
        <v>25</v>
      </c>
      <c r="C39" t="s">
        <v>951</v>
      </c>
      <c r="D39" t="s">
        <v>95</v>
      </c>
      <c r="E39" t="s">
        <v>101</v>
      </c>
      <c r="F39" t="s">
        <v>28</v>
      </c>
      <c r="G39" t="s">
        <v>26</v>
      </c>
      <c r="H39" s="28">
        <v>1</v>
      </c>
      <c r="I39" t="s">
        <v>90</v>
      </c>
      <c r="J39" s="6" t="s">
        <v>28</v>
      </c>
      <c r="K39" s="6">
        <v>1</v>
      </c>
      <c r="L39" s="9" t="s">
        <v>170</v>
      </c>
      <c r="M39" t="s">
        <v>37</v>
      </c>
      <c r="N39" s="24">
        <v>45271</v>
      </c>
      <c r="O39" t="s">
        <v>53</v>
      </c>
      <c r="P39" s="24">
        <v>45331</v>
      </c>
      <c r="Q39" t="s">
        <v>43</v>
      </c>
      <c r="R39" t="s">
        <v>93</v>
      </c>
      <c r="S39" t="s">
        <v>28</v>
      </c>
      <c r="T39" t="s">
        <v>28</v>
      </c>
      <c r="U39">
        <v>359.01</v>
      </c>
      <c r="V39" t="s">
        <v>28</v>
      </c>
      <c r="W39" s="5" t="s">
        <v>250</v>
      </c>
      <c r="X39" s="8" t="s">
        <v>28</v>
      </c>
      <c r="Y39" t="s">
        <v>28</v>
      </c>
      <c r="Z39">
        <v>359.01</v>
      </c>
      <c r="AA39">
        <f>IF(MainImport[[#This Row],[E/I]]="Import", MONTH(MainImport[[#This Row],[ETA]]), MONTH(MainImport[[#This Row],[ETD]]))</f>
        <v>2</v>
      </c>
      <c r="AB39">
        <f>IF(MainImport[[#This Row],[E/I]]="Import", YEAR(MainImport[[#This Row],[ETA]]), YEAR(MainImport[[#This Row],[ETD]]))</f>
        <v>2024</v>
      </c>
    </row>
    <row r="40" spans="1:28" ht="19.2" customHeight="1" x14ac:dyDescent="0.3">
      <c r="A40" t="s">
        <v>430</v>
      </c>
      <c r="B40" t="s">
        <v>25</v>
      </c>
      <c r="C40" t="s">
        <v>911</v>
      </c>
      <c r="D40" t="s">
        <v>913</v>
      </c>
      <c r="E40" t="s">
        <v>28</v>
      </c>
      <c r="F40" t="s">
        <v>28</v>
      </c>
      <c r="G40" t="s">
        <v>29</v>
      </c>
      <c r="H40" s="28">
        <v>60</v>
      </c>
      <c r="I40" t="s">
        <v>51</v>
      </c>
      <c r="J40" s="6">
        <v>1731</v>
      </c>
      <c r="K40" s="6" t="s">
        <v>28</v>
      </c>
      <c r="L40" s="9" t="s">
        <v>28</v>
      </c>
      <c r="M40" t="s">
        <v>37</v>
      </c>
      <c r="N40" s="24" t="s">
        <v>28</v>
      </c>
      <c r="O40" t="s">
        <v>28</v>
      </c>
      <c r="P40" s="24">
        <v>45331</v>
      </c>
      <c r="Q40" t="s">
        <v>194</v>
      </c>
      <c r="R40" t="s">
        <v>28</v>
      </c>
      <c r="S40" t="s">
        <v>28</v>
      </c>
      <c r="T40" t="s">
        <v>28</v>
      </c>
      <c r="U40">
        <v>2672.91</v>
      </c>
      <c r="V40" t="s">
        <v>28</v>
      </c>
      <c r="W40" s="5" t="s">
        <v>431</v>
      </c>
      <c r="X40" s="8" t="s">
        <v>28</v>
      </c>
      <c r="Y40" t="s">
        <v>28</v>
      </c>
      <c r="Z40">
        <v>2672.91</v>
      </c>
      <c r="AA40">
        <f>IF(MainImport[[#This Row],[E/I]]="Import", MONTH(MainImport[[#This Row],[ETA]]), MONTH(MainImport[[#This Row],[ETD]]))</f>
        <v>2</v>
      </c>
      <c r="AB40">
        <f>IF(MainImport[[#This Row],[E/I]]="Import", YEAR(MainImport[[#This Row],[ETA]]), YEAR(MainImport[[#This Row],[ETD]]))</f>
        <v>2024</v>
      </c>
    </row>
    <row r="41" spans="1:28" ht="18" customHeight="1" x14ac:dyDescent="0.3">
      <c r="A41" t="s">
        <v>146</v>
      </c>
      <c r="B41" t="s">
        <v>25</v>
      </c>
      <c r="C41" t="s">
        <v>952</v>
      </c>
      <c r="D41" t="s">
        <v>427</v>
      </c>
      <c r="E41" t="s">
        <v>213</v>
      </c>
      <c r="F41" t="s">
        <v>40</v>
      </c>
      <c r="G41" t="s">
        <v>26</v>
      </c>
      <c r="H41" s="28">
        <v>2</v>
      </c>
      <c r="I41" t="s">
        <v>41</v>
      </c>
      <c r="J41" s="6">
        <v>20000</v>
      </c>
      <c r="K41" s="6">
        <v>4</v>
      </c>
      <c r="L41" s="5" t="s">
        <v>426</v>
      </c>
      <c r="M41" t="s">
        <v>37</v>
      </c>
      <c r="N41" s="24">
        <v>45288</v>
      </c>
      <c r="O41" t="s">
        <v>53</v>
      </c>
      <c r="P41" s="24">
        <v>45334</v>
      </c>
      <c r="Q41" t="s">
        <v>43</v>
      </c>
      <c r="R41" t="s">
        <v>103</v>
      </c>
      <c r="S41" t="s">
        <v>188</v>
      </c>
      <c r="T41" t="s">
        <v>28</v>
      </c>
      <c r="U41" s="17">
        <v>9270.82</v>
      </c>
      <c r="V41" t="s">
        <v>28</v>
      </c>
      <c r="W41" s="5" t="s">
        <v>226</v>
      </c>
      <c r="X41" s="8" t="s">
        <v>361</v>
      </c>
      <c r="Y41" t="s">
        <v>28</v>
      </c>
      <c r="Z41">
        <v>9270.82</v>
      </c>
      <c r="AA41">
        <f>IF(MainImport[[#This Row],[E/I]]="Import", MONTH(MainImport[[#This Row],[ETA]]), MONTH(MainImport[[#This Row],[ETD]]))</f>
        <v>2</v>
      </c>
      <c r="AB41">
        <f>IF(MainImport[[#This Row],[E/I]]="Import", YEAR(MainImport[[#This Row],[ETA]]), YEAR(MainImport[[#This Row],[ETD]]))</f>
        <v>2024</v>
      </c>
    </row>
    <row r="42" spans="1:28" ht="19.2" customHeight="1" x14ac:dyDescent="0.3">
      <c r="A42" t="s">
        <v>167</v>
      </c>
      <c r="B42" t="s">
        <v>25</v>
      </c>
      <c r="C42" t="s">
        <v>906</v>
      </c>
      <c r="D42" t="s">
        <v>58</v>
      </c>
      <c r="E42" t="s">
        <v>50</v>
      </c>
      <c r="F42" t="s">
        <v>63</v>
      </c>
      <c r="G42" t="s">
        <v>29</v>
      </c>
      <c r="H42" s="28">
        <v>98</v>
      </c>
      <c r="I42" t="s">
        <v>51</v>
      </c>
      <c r="J42" s="6">
        <v>1043.5</v>
      </c>
      <c r="K42" s="6">
        <v>6.1239999999999997</v>
      </c>
      <c r="L42" s="9" t="s">
        <v>201</v>
      </c>
      <c r="M42" t="s">
        <v>37</v>
      </c>
      <c r="N42" s="24">
        <v>45274</v>
      </c>
      <c r="O42" t="s">
        <v>73</v>
      </c>
      <c r="P42" s="25">
        <v>45336</v>
      </c>
      <c r="Q42" t="s">
        <v>43</v>
      </c>
      <c r="R42" t="s">
        <v>197</v>
      </c>
      <c r="S42" t="s">
        <v>28</v>
      </c>
      <c r="T42" t="s">
        <v>28</v>
      </c>
      <c r="U42" s="17">
        <v>246.59</v>
      </c>
      <c r="V42" t="s">
        <v>28</v>
      </c>
      <c r="W42" s="5" t="s">
        <v>166</v>
      </c>
      <c r="X42" s="8" t="s">
        <v>28</v>
      </c>
      <c r="Y42" t="s">
        <v>28</v>
      </c>
      <c r="Z42">
        <v>246.59</v>
      </c>
      <c r="AA42">
        <f>IF(MainImport[[#This Row],[E/I]]="Import", MONTH(MainImport[[#This Row],[ETA]]), MONTH(MainImport[[#This Row],[ETD]]))</f>
        <v>2</v>
      </c>
      <c r="AB42">
        <f>IF(MainImport[[#This Row],[E/I]]="Import", YEAR(MainImport[[#This Row],[ETA]]), YEAR(MainImport[[#This Row],[ETD]]))</f>
        <v>2024</v>
      </c>
    </row>
    <row r="43" spans="1:28" ht="19.8" customHeight="1" x14ac:dyDescent="0.3">
      <c r="A43" t="s">
        <v>125</v>
      </c>
      <c r="B43" t="s">
        <v>25</v>
      </c>
      <c r="C43" t="s">
        <v>936</v>
      </c>
      <c r="D43" t="s">
        <v>84</v>
      </c>
      <c r="E43" t="s">
        <v>50</v>
      </c>
      <c r="F43" t="s">
        <v>28</v>
      </c>
      <c r="G43" t="s">
        <v>29</v>
      </c>
      <c r="H43" s="28">
        <v>100</v>
      </c>
      <c r="I43" t="s">
        <v>85</v>
      </c>
      <c r="J43" s="6">
        <v>1111</v>
      </c>
      <c r="K43" s="6">
        <v>2.12</v>
      </c>
      <c r="L43" s="9" t="s">
        <v>201</v>
      </c>
      <c r="M43" t="s">
        <v>37</v>
      </c>
      <c r="N43" s="24">
        <v>45274</v>
      </c>
      <c r="O43" t="s">
        <v>74</v>
      </c>
      <c r="P43" s="25">
        <v>45336</v>
      </c>
      <c r="Q43" t="s">
        <v>43</v>
      </c>
      <c r="R43" t="s">
        <v>144</v>
      </c>
      <c r="S43" t="s">
        <v>28</v>
      </c>
      <c r="T43" t="s">
        <v>28</v>
      </c>
      <c r="U43" s="17">
        <v>172.51</v>
      </c>
      <c r="V43" t="s">
        <v>28</v>
      </c>
      <c r="W43" s="5" t="s">
        <v>163</v>
      </c>
      <c r="X43" s="8" t="s">
        <v>28</v>
      </c>
      <c r="Y43" t="s">
        <v>28</v>
      </c>
      <c r="Z43">
        <v>172.51</v>
      </c>
      <c r="AA43">
        <f>IF(MainImport[[#This Row],[E/I]]="Import", MONTH(MainImport[[#This Row],[ETA]]), MONTH(MainImport[[#This Row],[ETD]]))</f>
        <v>2</v>
      </c>
      <c r="AB43">
        <f>IF(MainImport[[#This Row],[E/I]]="Import", YEAR(MainImport[[#This Row],[ETA]]), YEAR(MainImport[[#This Row],[ETD]]))</f>
        <v>2024</v>
      </c>
    </row>
    <row r="44" spans="1:28" ht="19.2" customHeight="1" x14ac:dyDescent="0.3">
      <c r="A44" t="s">
        <v>126</v>
      </c>
      <c r="B44" t="s">
        <v>25</v>
      </c>
      <c r="C44" t="s">
        <v>936</v>
      </c>
      <c r="D44" t="s">
        <v>86</v>
      </c>
      <c r="E44" t="s">
        <v>50</v>
      </c>
      <c r="F44" t="s">
        <v>28</v>
      </c>
      <c r="G44" t="s">
        <v>29</v>
      </c>
      <c r="H44" s="28">
        <v>6</v>
      </c>
      <c r="I44" t="s">
        <v>83</v>
      </c>
      <c r="J44" s="6">
        <v>3868</v>
      </c>
      <c r="K44" s="6">
        <v>5.75</v>
      </c>
      <c r="L44" s="9" t="s">
        <v>201</v>
      </c>
      <c r="M44" t="s">
        <v>37</v>
      </c>
      <c r="N44" s="24">
        <v>45274</v>
      </c>
      <c r="O44" t="s">
        <v>87</v>
      </c>
      <c r="P44" s="25">
        <v>45336</v>
      </c>
      <c r="Q44" t="s">
        <v>43</v>
      </c>
      <c r="R44" t="s">
        <v>144</v>
      </c>
      <c r="S44" t="s">
        <v>28</v>
      </c>
      <c r="T44" t="s">
        <v>28</v>
      </c>
      <c r="U44" s="17">
        <v>388.19</v>
      </c>
      <c r="V44" t="s">
        <v>28</v>
      </c>
      <c r="W44" s="5" t="s">
        <v>164</v>
      </c>
      <c r="X44" s="8" t="s">
        <v>28</v>
      </c>
      <c r="Y44" t="s">
        <v>28</v>
      </c>
      <c r="Z44">
        <v>388.19</v>
      </c>
      <c r="AA44">
        <f>IF(MainImport[[#This Row],[E/I]]="Import", MONTH(MainImport[[#This Row],[ETA]]), MONTH(MainImport[[#This Row],[ETD]]))</f>
        <v>2</v>
      </c>
      <c r="AB44">
        <f>IF(MainImport[[#This Row],[E/I]]="Import", YEAR(MainImport[[#This Row],[ETA]]), YEAR(MainImport[[#This Row],[ETD]]))</f>
        <v>2024</v>
      </c>
    </row>
    <row r="45" spans="1:28" ht="19.2" customHeight="1" x14ac:dyDescent="0.3">
      <c r="A45" t="s">
        <v>136</v>
      </c>
      <c r="B45" t="s">
        <v>25</v>
      </c>
      <c r="C45" t="s">
        <v>952</v>
      </c>
      <c r="D45" t="s">
        <v>100</v>
      </c>
      <c r="E45" t="s">
        <v>101</v>
      </c>
      <c r="F45" t="s">
        <v>40</v>
      </c>
      <c r="G45" t="s">
        <v>26</v>
      </c>
      <c r="H45" s="28">
        <v>1</v>
      </c>
      <c r="I45" t="s">
        <v>41</v>
      </c>
      <c r="J45" s="31" t="s">
        <v>28</v>
      </c>
      <c r="K45" s="6">
        <v>2</v>
      </c>
      <c r="L45" s="9" t="s">
        <v>187</v>
      </c>
      <c r="M45" t="s">
        <v>37</v>
      </c>
      <c r="N45" s="24">
        <v>45276</v>
      </c>
      <c r="O45" t="s">
        <v>99</v>
      </c>
      <c r="P45" s="24">
        <v>45338</v>
      </c>
      <c r="Q45" t="s">
        <v>43</v>
      </c>
      <c r="R45" t="s">
        <v>103</v>
      </c>
      <c r="S45" t="s">
        <v>28</v>
      </c>
      <c r="T45" t="s">
        <v>28</v>
      </c>
      <c r="U45" s="17">
        <v>778.73</v>
      </c>
      <c r="V45" t="s">
        <v>28</v>
      </c>
      <c r="W45" s="5" t="s">
        <v>102</v>
      </c>
      <c r="X45" s="8" t="s">
        <v>28</v>
      </c>
      <c r="Y45" t="s">
        <v>28</v>
      </c>
      <c r="Z45">
        <v>778.73</v>
      </c>
      <c r="AA45">
        <f>IF(MainImport[[#This Row],[E/I]]="Import", MONTH(MainImport[[#This Row],[ETA]]), MONTH(MainImport[[#This Row],[ETD]]))</f>
        <v>2</v>
      </c>
      <c r="AB45">
        <f>IF(MainImport[[#This Row],[E/I]]="Import", YEAR(MainImport[[#This Row],[ETA]]), YEAR(MainImport[[#This Row],[ETD]]))</f>
        <v>2024</v>
      </c>
    </row>
    <row r="46" spans="1:28" ht="20.399999999999999" customHeight="1" x14ac:dyDescent="0.3">
      <c r="A46" t="s">
        <v>122</v>
      </c>
      <c r="B46" t="s">
        <v>25</v>
      </c>
      <c r="C46" t="s">
        <v>915</v>
      </c>
      <c r="D46" t="s">
        <v>77</v>
      </c>
      <c r="E46" t="s">
        <v>50</v>
      </c>
      <c r="F46" t="s">
        <v>40</v>
      </c>
      <c r="G46" t="s">
        <v>29</v>
      </c>
      <c r="H46" s="28">
        <v>40</v>
      </c>
      <c r="I46" t="s">
        <v>60</v>
      </c>
      <c r="J46" s="6">
        <v>224</v>
      </c>
      <c r="K46" s="6">
        <v>1.75</v>
      </c>
      <c r="L46" s="9" t="s">
        <v>261</v>
      </c>
      <c r="M46" t="s">
        <v>37</v>
      </c>
      <c r="N46" s="24">
        <v>45286</v>
      </c>
      <c r="O46" t="s">
        <v>62</v>
      </c>
      <c r="P46" s="25">
        <v>45338</v>
      </c>
      <c r="Q46" t="s">
        <v>43</v>
      </c>
      <c r="R46" t="s">
        <v>44</v>
      </c>
      <c r="S46" t="s">
        <v>28</v>
      </c>
      <c r="T46" t="s">
        <v>28</v>
      </c>
      <c r="U46" s="17">
        <v>1007.84</v>
      </c>
      <c r="V46" t="s">
        <v>28</v>
      </c>
      <c r="W46" s="5" t="s">
        <v>229</v>
      </c>
      <c r="X46" s="8" t="s">
        <v>28</v>
      </c>
      <c r="Y46" t="s">
        <v>28</v>
      </c>
      <c r="Z46">
        <v>1007.84</v>
      </c>
      <c r="AA46">
        <f>IF(MainImport[[#This Row],[E/I]]="Import", MONTH(MainImport[[#This Row],[ETA]]), MONTH(MainImport[[#This Row],[ETD]]))</f>
        <v>2</v>
      </c>
      <c r="AB46">
        <f>IF(MainImport[[#This Row],[E/I]]="Import", YEAR(MainImport[[#This Row],[ETA]]), YEAR(MainImport[[#This Row],[ETD]]))</f>
        <v>2024</v>
      </c>
    </row>
    <row r="47" spans="1:28" ht="21" customHeight="1" x14ac:dyDescent="0.3">
      <c r="A47" t="s">
        <v>205</v>
      </c>
      <c r="B47" t="s">
        <v>25</v>
      </c>
      <c r="C47" t="s">
        <v>952</v>
      </c>
      <c r="D47" t="s">
        <v>267</v>
      </c>
      <c r="E47" t="s">
        <v>107</v>
      </c>
      <c r="F47" t="s">
        <v>40</v>
      </c>
      <c r="G47" t="s">
        <v>26</v>
      </c>
      <c r="H47" s="28">
        <v>1</v>
      </c>
      <c r="I47" t="s">
        <v>41</v>
      </c>
      <c r="J47" s="6">
        <v>9250</v>
      </c>
      <c r="K47" s="6">
        <v>2</v>
      </c>
      <c r="L47" s="9" t="s">
        <v>237</v>
      </c>
      <c r="M47" t="s">
        <v>37</v>
      </c>
      <c r="N47" s="24">
        <v>45296</v>
      </c>
      <c r="O47" t="s">
        <v>53</v>
      </c>
      <c r="P47" s="24">
        <v>45341</v>
      </c>
      <c r="Q47" t="s">
        <v>43</v>
      </c>
      <c r="R47" t="s">
        <v>103</v>
      </c>
      <c r="S47" t="s">
        <v>28</v>
      </c>
      <c r="T47" t="s">
        <v>28</v>
      </c>
      <c r="U47" s="17">
        <v>2676.18</v>
      </c>
      <c r="V47" t="s">
        <v>28</v>
      </c>
      <c r="W47" s="5" t="s">
        <v>224</v>
      </c>
      <c r="X47" s="8" t="s">
        <v>28</v>
      </c>
      <c r="Y47" t="s">
        <v>28</v>
      </c>
      <c r="Z47">
        <v>2676.18</v>
      </c>
      <c r="AA47">
        <f>IF(MainImport[[#This Row],[E/I]]="Import", MONTH(MainImport[[#This Row],[ETA]]), MONTH(MainImport[[#This Row],[ETD]]))</f>
        <v>2</v>
      </c>
      <c r="AB47">
        <f>IF(MainImport[[#This Row],[E/I]]="Import", YEAR(MainImport[[#This Row],[ETA]]), YEAR(MainImport[[#This Row],[ETD]]))</f>
        <v>2024</v>
      </c>
    </row>
    <row r="48" spans="1:28" ht="22.2" customHeight="1" x14ac:dyDescent="0.3">
      <c r="A48" t="s">
        <v>411</v>
      </c>
      <c r="B48" t="s">
        <v>25</v>
      </c>
      <c r="C48" t="s">
        <v>939</v>
      </c>
      <c r="D48" t="s">
        <v>421</v>
      </c>
      <c r="E48" t="s">
        <v>28</v>
      </c>
      <c r="F48" t="s">
        <v>28</v>
      </c>
      <c r="G48" t="s">
        <v>26</v>
      </c>
      <c r="H48" s="28">
        <v>1</v>
      </c>
      <c r="I48" t="s">
        <v>41</v>
      </c>
      <c r="J48" s="6">
        <v>30480</v>
      </c>
      <c r="K48" s="6">
        <v>2</v>
      </c>
      <c r="L48" s="9" t="s">
        <v>436</v>
      </c>
      <c r="M48" t="s">
        <v>37</v>
      </c>
      <c r="N48" s="24">
        <v>45321</v>
      </c>
      <c r="O48" t="s">
        <v>73</v>
      </c>
      <c r="P48" s="24">
        <v>45341</v>
      </c>
      <c r="Q48" t="s">
        <v>194</v>
      </c>
      <c r="R48" t="s">
        <v>469</v>
      </c>
      <c r="S48" t="s">
        <v>28</v>
      </c>
      <c r="T48" t="s">
        <v>28</v>
      </c>
      <c r="U48" s="17">
        <v>3299.93</v>
      </c>
      <c r="V48" t="s">
        <v>28</v>
      </c>
      <c r="W48" s="8" t="s">
        <v>410</v>
      </c>
      <c r="X48" s="8" t="s">
        <v>28</v>
      </c>
      <c r="Y48" t="s">
        <v>448</v>
      </c>
      <c r="Z48">
        <v>3299.93</v>
      </c>
      <c r="AA48">
        <f>IF(MainImport[[#This Row],[E/I]]="Import", MONTH(MainImport[[#This Row],[ETA]]), MONTH(MainImport[[#This Row],[ETD]]))</f>
        <v>2</v>
      </c>
      <c r="AB48">
        <f>IF(MainImport[[#This Row],[E/I]]="Import", YEAR(MainImport[[#This Row],[ETA]]), YEAR(MainImport[[#This Row],[ETD]]))</f>
        <v>2024</v>
      </c>
    </row>
    <row r="49" spans="1:28" ht="19.8" customHeight="1" x14ac:dyDescent="0.3">
      <c r="A49" t="s">
        <v>300</v>
      </c>
      <c r="B49" t="s">
        <v>25</v>
      </c>
      <c r="C49" t="s">
        <v>949</v>
      </c>
      <c r="D49" t="s">
        <v>241</v>
      </c>
      <c r="E49" t="s">
        <v>239</v>
      </c>
      <c r="F49" t="s">
        <v>63</v>
      </c>
      <c r="G49" t="s">
        <v>26</v>
      </c>
      <c r="H49" s="28">
        <v>1</v>
      </c>
      <c r="I49" t="s">
        <v>41</v>
      </c>
      <c r="J49" s="6">
        <v>11950</v>
      </c>
      <c r="K49" s="6">
        <v>2</v>
      </c>
      <c r="L49" s="9" t="s">
        <v>238</v>
      </c>
      <c r="M49" t="s">
        <v>37</v>
      </c>
      <c r="N49" s="24">
        <v>45295</v>
      </c>
      <c r="O49" t="s">
        <v>220</v>
      </c>
      <c r="P49" s="24">
        <v>45341</v>
      </c>
      <c r="Q49" t="s">
        <v>43</v>
      </c>
      <c r="R49" t="s">
        <v>69</v>
      </c>
      <c r="S49" t="s">
        <v>28</v>
      </c>
      <c r="T49" t="s">
        <v>28</v>
      </c>
      <c r="U49" s="17">
        <v>6145.28</v>
      </c>
      <c r="V49" t="s">
        <v>28</v>
      </c>
      <c r="W49" s="5" t="s">
        <v>222</v>
      </c>
      <c r="X49" s="8" t="s">
        <v>28</v>
      </c>
      <c r="Y49" t="s">
        <v>28</v>
      </c>
      <c r="Z49">
        <v>6145.28</v>
      </c>
      <c r="AA49">
        <f>IF(MainImport[[#This Row],[E/I]]="Import", MONTH(MainImport[[#This Row],[ETA]]), MONTH(MainImport[[#This Row],[ETD]]))</f>
        <v>2</v>
      </c>
      <c r="AB49">
        <f>IF(MainImport[[#This Row],[E/I]]="Import", YEAR(MainImport[[#This Row],[ETA]]), YEAR(MainImport[[#This Row],[ETD]]))</f>
        <v>2024</v>
      </c>
    </row>
    <row r="50" spans="1:28" ht="19.2" customHeight="1" x14ac:dyDescent="0.3">
      <c r="A50" t="s">
        <v>256</v>
      </c>
      <c r="B50" t="s">
        <v>25</v>
      </c>
      <c r="C50" t="s">
        <v>914</v>
      </c>
      <c r="D50" t="s">
        <v>253</v>
      </c>
      <c r="E50" t="s">
        <v>252</v>
      </c>
      <c r="F50" t="s">
        <v>63</v>
      </c>
      <c r="G50" t="s">
        <v>29</v>
      </c>
      <c r="H50" s="28">
        <v>27</v>
      </c>
      <c r="I50" t="s">
        <v>51</v>
      </c>
      <c r="J50" s="6">
        <v>543.20000000000005</v>
      </c>
      <c r="K50" s="6">
        <v>3.121</v>
      </c>
      <c r="L50" s="9" t="s">
        <v>28</v>
      </c>
      <c r="M50" t="s">
        <v>37</v>
      </c>
      <c r="N50" s="24">
        <v>45313</v>
      </c>
      <c r="O50" t="s">
        <v>73</v>
      </c>
      <c r="P50" s="25">
        <v>45343</v>
      </c>
      <c r="Q50" t="s">
        <v>194</v>
      </c>
      <c r="R50" t="s">
        <v>69</v>
      </c>
      <c r="S50" t="s">
        <v>28</v>
      </c>
      <c r="T50" t="s">
        <v>28</v>
      </c>
      <c r="U50" s="17">
        <v>6271.93</v>
      </c>
      <c r="V50" t="s">
        <v>28</v>
      </c>
      <c r="W50" s="5" t="s">
        <v>437</v>
      </c>
      <c r="X50" s="8" t="s">
        <v>28</v>
      </c>
      <c r="Y50" t="s">
        <v>28</v>
      </c>
      <c r="Z50">
        <v>6271.93</v>
      </c>
      <c r="AA50">
        <f>IF(MainImport[[#This Row],[E/I]]="Import", MONTH(MainImport[[#This Row],[ETA]]), MONTH(MainImport[[#This Row],[ETD]]))</f>
        <v>2</v>
      </c>
      <c r="AB50">
        <f>IF(MainImport[[#This Row],[E/I]]="Import", YEAR(MainImport[[#This Row],[ETA]]), YEAR(MainImport[[#This Row],[ETD]]))</f>
        <v>2024</v>
      </c>
    </row>
    <row r="51" spans="1:28" ht="19.8" customHeight="1" x14ac:dyDescent="0.3">
      <c r="A51" t="s">
        <v>217</v>
      </c>
      <c r="B51" t="s">
        <v>25</v>
      </c>
      <c r="C51" t="s">
        <v>952</v>
      </c>
      <c r="D51" t="s">
        <v>221</v>
      </c>
      <c r="E51" t="s">
        <v>50</v>
      </c>
      <c r="F51" t="s">
        <v>40</v>
      </c>
      <c r="G51" t="s">
        <v>29</v>
      </c>
      <c r="H51" s="28">
        <v>7</v>
      </c>
      <c r="I51" t="s">
        <v>83</v>
      </c>
      <c r="J51" s="6">
        <v>2307</v>
      </c>
      <c r="K51" s="6">
        <v>14.141999999999999</v>
      </c>
      <c r="L51" s="9" t="s">
        <v>285</v>
      </c>
      <c r="M51" t="s">
        <v>37</v>
      </c>
      <c r="N51" s="24">
        <v>44935</v>
      </c>
      <c r="O51" t="s">
        <v>212</v>
      </c>
      <c r="P51" s="25">
        <v>45348</v>
      </c>
      <c r="Q51" t="s">
        <v>43</v>
      </c>
      <c r="R51" t="s">
        <v>103</v>
      </c>
      <c r="S51" t="s">
        <v>211</v>
      </c>
      <c r="T51" t="s">
        <v>28</v>
      </c>
      <c r="U51" s="17">
        <v>1795.59</v>
      </c>
      <c r="V51" t="s">
        <v>28</v>
      </c>
      <c r="W51" s="5" t="s">
        <v>227</v>
      </c>
      <c r="X51" s="8" t="s">
        <v>28</v>
      </c>
      <c r="Y51" t="s">
        <v>28</v>
      </c>
      <c r="Z51">
        <v>1795.59</v>
      </c>
      <c r="AA51">
        <f>IF(MainImport[[#This Row],[E/I]]="Import", MONTH(MainImport[[#This Row],[ETA]]), MONTH(MainImport[[#This Row],[ETD]]))</f>
        <v>2</v>
      </c>
      <c r="AB51">
        <f>IF(MainImport[[#This Row],[E/I]]="Import", YEAR(MainImport[[#This Row],[ETA]]), YEAR(MainImport[[#This Row],[ETD]]))</f>
        <v>2024</v>
      </c>
    </row>
    <row r="52" spans="1:28" ht="18.600000000000001" customHeight="1" x14ac:dyDescent="0.3">
      <c r="A52" s="17" t="s">
        <v>432</v>
      </c>
      <c r="B52" t="s">
        <v>25</v>
      </c>
      <c r="C52" t="s">
        <v>906</v>
      </c>
      <c r="D52" t="s">
        <v>198</v>
      </c>
      <c r="E52" t="s">
        <v>28</v>
      </c>
      <c r="F52" t="s">
        <v>63</v>
      </c>
      <c r="G52" t="s">
        <v>29</v>
      </c>
      <c r="H52" s="28">
        <v>28</v>
      </c>
      <c r="I52" t="s">
        <v>85</v>
      </c>
      <c r="J52" s="6">
        <v>551.5</v>
      </c>
      <c r="K52" s="6">
        <v>3.266</v>
      </c>
      <c r="L52" s="9" t="s">
        <v>285</v>
      </c>
      <c r="M52" t="s">
        <v>37</v>
      </c>
      <c r="N52" s="24">
        <v>45300</v>
      </c>
      <c r="O52" t="s">
        <v>87</v>
      </c>
      <c r="P52" s="25">
        <v>45348</v>
      </c>
      <c r="Q52" t="s">
        <v>43</v>
      </c>
      <c r="R52" t="s">
        <v>197</v>
      </c>
      <c r="S52" t="s">
        <v>28</v>
      </c>
      <c r="T52" t="s">
        <v>28</v>
      </c>
      <c r="U52" s="17">
        <v>650.47</v>
      </c>
      <c r="V52" t="s">
        <v>28</v>
      </c>
      <c r="W52" s="5" t="s">
        <v>228</v>
      </c>
      <c r="X52" s="8" t="s">
        <v>28</v>
      </c>
      <c r="Y52" t="s">
        <v>28</v>
      </c>
      <c r="Z52">
        <v>650.47</v>
      </c>
      <c r="AA52">
        <f>IF(MainImport[[#This Row],[E/I]]="Import", MONTH(MainImport[[#This Row],[ETA]]), MONTH(MainImport[[#This Row],[ETD]]))</f>
        <v>2</v>
      </c>
      <c r="AB52">
        <f>IF(MainImport[[#This Row],[E/I]]="Import", YEAR(MainImport[[#This Row],[ETA]]), YEAR(MainImport[[#This Row],[ETD]]))</f>
        <v>2024</v>
      </c>
    </row>
    <row r="53" spans="1:28" ht="21" customHeight="1" x14ac:dyDescent="0.3">
      <c r="A53" t="s">
        <v>258</v>
      </c>
      <c r="B53" t="s">
        <v>25</v>
      </c>
      <c r="C53" t="s">
        <v>939</v>
      </c>
      <c r="D53" t="s">
        <v>265</v>
      </c>
      <c r="E53" t="s">
        <v>28</v>
      </c>
      <c r="F53" t="s">
        <v>40</v>
      </c>
      <c r="G53" t="s">
        <v>26</v>
      </c>
      <c r="H53" s="28">
        <v>2</v>
      </c>
      <c r="I53" t="s">
        <v>41</v>
      </c>
      <c r="J53" s="6" t="s">
        <v>28</v>
      </c>
      <c r="K53" s="6">
        <v>4</v>
      </c>
      <c r="L53" s="5" t="s">
        <v>264</v>
      </c>
      <c r="M53" t="s">
        <v>37</v>
      </c>
      <c r="N53" s="24">
        <v>45301</v>
      </c>
      <c r="O53" t="s">
        <v>53</v>
      </c>
      <c r="P53" s="24">
        <v>45348</v>
      </c>
      <c r="Q53" t="s">
        <v>43</v>
      </c>
      <c r="R53" t="s">
        <v>469</v>
      </c>
      <c r="S53" t="s">
        <v>28</v>
      </c>
      <c r="T53" t="s">
        <v>28</v>
      </c>
      <c r="U53" s="16">
        <v>7414.23</v>
      </c>
      <c r="V53" t="s">
        <v>28</v>
      </c>
      <c r="W53" s="8" t="s">
        <v>468</v>
      </c>
      <c r="X53" s="5" t="s">
        <v>257</v>
      </c>
      <c r="Y53" t="s">
        <v>438</v>
      </c>
      <c r="Z53">
        <v>7414.23</v>
      </c>
      <c r="AA53">
        <f>IF(MainImport[[#This Row],[E/I]]="Import", MONTH(MainImport[[#This Row],[ETA]]), MONTH(MainImport[[#This Row],[ETD]]))</f>
        <v>2</v>
      </c>
      <c r="AB53">
        <f>IF(MainImport[[#This Row],[E/I]]="Import", YEAR(MainImport[[#This Row],[ETA]]), YEAR(MainImport[[#This Row],[ETD]]))</f>
        <v>2024</v>
      </c>
    </row>
    <row r="54" spans="1:28" ht="19.8" customHeight="1" x14ac:dyDescent="0.3">
      <c r="A54" s="15" t="s">
        <v>526</v>
      </c>
      <c r="B54" t="s">
        <v>25</v>
      </c>
      <c r="C54" t="s">
        <v>959</v>
      </c>
      <c r="D54" t="s">
        <v>369</v>
      </c>
      <c r="E54" t="s">
        <v>28</v>
      </c>
      <c r="F54" t="s">
        <v>40</v>
      </c>
      <c r="G54" t="s">
        <v>26</v>
      </c>
      <c r="H54" s="28">
        <v>2</v>
      </c>
      <c r="I54" t="s">
        <v>90</v>
      </c>
      <c r="J54" s="6" t="s">
        <v>28</v>
      </c>
      <c r="K54" s="6">
        <v>2</v>
      </c>
      <c r="L54" s="15" t="s">
        <v>362</v>
      </c>
      <c r="M54" t="s">
        <v>37</v>
      </c>
      <c r="N54" s="24">
        <v>45305</v>
      </c>
      <c r="O54" t="s">
        <v>73</v>
      </c>
      <c r="P54" s="24">
        <v>45352</v>
      </c>
      <c r="Q54" t="s">
        <v>43</v>
      </c>
      <c r="R54" t="s">
        <v>274</v>
      </c>
      <c r="S54" t="s">
        <v>28</v>
      </c>
      <c r="T54" t="s">
        <v>28</v>
      </c>
      <c r="U54" s="16">
        <v>910.31</v>
      </c>
      <c r="V54" t="s">
        <v>28</v>
      </c>
      <c r="W54" s="5" t="s">
        <v>275</v>
      </c>
      <c r="X54" s="13" t="s">
        <v>277</v>
      </c>
      <c r="Y54" t="s">
        <v>28</v>
      </c>
      <c r="Z54">
        <v>910.31</v>
      </c>
      <c r="AA54">
        <f>IF(MainImport[[#This Row],[E/I]]="Import", MONTH(MainImport[[#This Row],[ETA]]), MONTH(MainImport[[#This Row],[ETD]]))</f>
        <v>3</v>
      </c>
      <c r="AB54">
        <f>IF(MainImport[[#This Row],[E/I]]="Import", YEAR(MainImport[[#This Row],[ETA]]), YEAR(MainImport[[#This Row],[ETD]]))</f>
        <v>2024</v>
      </c>
    </row>
    <row r="55" spans="1:28" ht="26.4" customHeight="1" x14ac:dyDescent="0.3">
      <c r="A55" t="s">
        <v>193</v>
      </c>
      <c r="B55" t="s">
        <v>25</v>
      </c>
      <c r="C55" t="s">
        <v>952</v>
      </c>
      <c r="D55" t="s">
        <v>209</v>
      </c>
      <c r="E55" t="s">
        <v>101</v>
      </c>
      <c r="F55" t="s">
        <v>40</v>
      </c>
      <c r="G55" t="s">
        <v>26</v>
      </c>
      <c r="H55" s="28">
        <v>1</v>
      </c>
      <c r="I55" t="s">
        <v>41</v>
      </c>
      <c r="J55" s="6">
        <v>25673</v>
      </c>
      <c r="K55" s="6">
        <v>2</v>
      </c>
      <c r="L55" s="9" t="s">
        <v>223</v>
      </c>
      <c r="M55" t="s">
        <v>37</v>
      </c>
      <c r="N55" s="24">
        <v>44935</v>
      </c>
      <c r="O55" t="s">
        <v>89</v>
      </c>
      <c r="P55" s="24">
        <v>45356</v>
      </c>
      <c r="Q55" t="s">
        <v>43</v>
      </c>
      <c r="R55" t="s">
        <v>103</v>
      </c>
      <c r="S55" t="s">
        <v>192</v>
      </c>
      <c r="T55" t="s">
        <v>28</v>
      </c>
      <c r="U55" s="16">
        <v>5901.44</v>
      </c>
      <c r="V55" t="s">
        <v>28</v>
      </c>
      <c r="W55" s="5" t="s">
        <v>225</v>
      </c>
      <c r="X55" s="8" t="s">
        <v>396</v>
      </c>
      <c r="Y55" t="s">
        <v>28</v>
      </c>
      <c r="Z55">
        <v>5901.44</v>
      </c>
      <c r="AA55">
        <f>IF(MainImport[[#This Row],[E/I]]="Import", MONTH(MainImport[[#This Row],[ETA]]), MONTH(MainImport[[#This Row],[ETD]]))</f>
        <v>3</v>
      </c>
      <c r="AB55">
        <f>IF(MainImport[[#This Row],[E/I]]="Import", YEAR(MainImport[[#This Row],[ETA]]), YEAR(MainImport[[#This Row],[ETD]]))</f>
        <v>2024</v>
      </c>
    </row>
    <row r="56" spans="1:28" ht="18" customHeight="1" x14ac:dyDescent="0.3">
      <c r="A56" t="s">
        <v>148</v>
      </c>
      <c r="B56" t="s">
        <v>25</v>
      </c>
      <c r="C56" t="s">
        <v>915</v>
      </c>
      <c r="D56" t="s">
        <v>208</v>
      </c>
      <c r="E56" t="s">
        <v>78</v>
      </c>
      <c r="F56" t="s">
        <v>63</v>
      </c>
      <c r="G56" t="s">
        <v>29</v>
      </c>
      <c r="H56" s="28">
        <v>5</v>
      </c>
      <c r="I56" t="s">
        <v>83</v>
      </c>
      <c r="J56" s="6">
        <v>723.3</v>
      </c>
      <c r="K56" s="6">
        <v>5.61</v>
      </c>
      <c r="L56" s="9" t="s">
        <v>214</v>
      </c>
      <c r="M56" t="s">
        <v>37</v>
      </c>
      <c r="N56" s="24">
        <v>45274</v>
      </c>
      <c r="O56" t="s">
        <v>147</v>
      </c>
      <c r="P56" s="25">
        <v>45357</v>
      </c>
      <c r="Q56" t="s">
        <v>43</v>
      </c>
      <c r="R56" t="s">
        <v>44</v>
      </c>
      <c r="S56" t="s">
        <v>574</v>
      </c>
      <c r="T56" t="s">
        <v>917</v>
      </c>
      <c r="U56" s="16">
        <v>2275.27</v>
      </c>
      <c r="V56" t="s">
        <v>28</v>
      </c>
      <c r="W56" s="5" t="s">
        <v>450</v>
      </c>
      <c r="X56" s="8" t="s">
        <v>28</v>
      </c>
      <c r="Y56" t="s">
        <v>28</v>
      </c>
      <c r="Z56">
        <v>2275.27</v>
      </c>
      <c r="AA56">
        <f>IF(MainImport[[#This Row],[E/I]]="Import", MONTH(MainImport[[#This Row],[ETA]]), MONTH(MainImport[[#This Row],[ETD]]))</f>
        <v>3</v>
      </c>
      <c r="AB56">
        <f>IF(MainImport[[#This Row],[E/I]]="Import", YEAR(MainImport[[#This Row],[ETA]]), YEAR(MainImport[[#This Row],[ETD]]))</f>
        <v>2024</v>
      </c>
    </row>
    <row r="57" spans="1:28" ht="18" customHeight="1" x14ac:dyDescent="0.3">
      <c r="A57" s="17" t="s">
        <v>243</v>
      </c>
      <c r="B57" t="s">
        <v>25</v>
      </c>
      <c r="C57" t="s">
        <v>952</v>
      </c>
      <c r="D57" t="s">
        <v>284</v>
      </c>
      <c r="E57" t="s">
        <v>101</v>
      </c>
      <c r="F57" t="s">
        <v>40</v>
      </c>
      <c r="G57" t="s">
        <v>26</v>
      </c>
      <c r="H57" s="28">
        <v>1</v>
      </c>
      <c r="I57" t="s">
        <v>41</v>
      </c>
      <c r="J57" s="6">
        <v>25993</v>
      </c>
      <c r="K57" s="6">
        <v>2</v>
      </c>
      <c r="L57" s="9" t="s">
        <v>308</v>
      </c>
      <c r="M57" t="s">
        <v>37</v>
      </c>
      <c r="N57" s="24">
        <v>45307</v>
      </c>
      <c r="O57" t="s">
        <v>62</v>
      </c>
      <c r="P57" s="24">
        <v>45359</v>
      </c>
      <c r="Q57" t="s">
        <v>43</v>
      </c>
      <c r="R57" t="s">
        <v>103</v>
      </c>
      <c r="S57" t="s">
        <v>28</v>
      </c>
      <c r="T57" t="s">
        <v>28</v>
      </c>
      <c r="U57" s="16">
        <v>1476.94</v>
      </c>
      <c r="V57" t="s">
        <v>28</v>
      </c>
      <c r="W57" s="5" t="s">
        <v>263</v>
      </c>
      <c r="X57" s="8">
        <v>5000</v>
      </c>
      <c r="Y57" t="s">
        <v>28</v>
      </c>
      <c r="Z57">
        <v>1476.94</v>
      </c>
      <c r="AA57">
        <f>IF(MainImport[[#This Row],[E/I]]="Import", MONTH(MainImport[[#This Row],[ETA]]), MONTH(MainImport[[#This Row],[ETD]]))</f>
        <v>3</v>
      </c>
      <c r="AB57">
        <f>IF(MainImport[[#This Row],[E/I]]="Import", YEAR(MainImport[[#This Row],[ETA]]), YEAR(MainImport[[#This Row],[ETD]]))</f>
        <v>2024</v>
      </c>
    </row>
    <row r="58" spans="1:28" ht="23.4" customHeight="1" x14ac:dyDescent="0.3">
      <c r="A58" t="s">
        <v>633</v>
      </c>
      <c r="B58" t="s">
        <v>25</v>
      </c>
      <c r="C58" t="s">
        <v>922</v>
      </c>
      <c r="D58" t="s">
        <v>332</v>
      </c>
      <c r="E58" t="s">
        <v>101</v>
      </c>
      <c r="F58" t="s">
        <v>40</v>
      </c>
      <c r="G58" t="s">
        <v>26</v>
      </c>
      <c r="H58" s="28">
        <v>1</v>
      </c>
      <c r="I58" t="s">
        <v>41</v>
      </c>
      <c r="J58" s="6">
        <v>13168</v>
      </c>
      <c r="K58" s="6">
        <v>2</v>
      </c>
      <c r="L58" s="9" t="s">
        <v>386</v>
      </c>
      <c r="M58" t="s">
        <v>37</v>
      </c>
      <c r="N58" s="24">
        <v>45307</v>
      </c>
      <c r="O58" t="s">
        <v>62</v>
      </c>
      <c r="P58" s="24">
        <v>45363</v>
      </c>
      <c r="Q58" t="s">
        <v>43</v>
      </c>
      <c r="R58" t="s">
        <v>555</v>
      </c>
      <c r="S58" t="s">
        <v>527</v>
      </c>
      <c r="T58" t="s">
        <v>28</v>
      </c>
      <c r="U58" s="16">
        <v>1499.09</v>
      </c>
      <c r="V58" t="s">
        <v>28</v>
      </c>
      <c r="W58" s="5" t="s">
        <v>293</v>
      </c>
      <c r="X58" s="8" t="s">
        <v>292</v>
      </c>
      <c r="Y58" t="s">
        <v>28</v>
      </c>
      <c r="Z58">
        <v>1499.09</v>
      </c>
      <c r="AA58">
        <f>IF(MainImport[[#This Row],[E/I]]="Import", MONTH(MainImport[[#This Row],[ETA]]), MONTH(MainImport[[#This Row],[ETD]]))</f>
        <v>3</v>
      </c>
      <c r="AB58">
        <f>IF(MainImport[[#This Row],[E/I]]="Import", YEAR(MainImport[[#This Row],[ETA]]), YEAR(MainImport[[#This Row],[ETD]]))</f>
        <v>2024</v>
      </c>
    </row>
    <row r="59" spans="1:28" ht="16.8" customHeight="1" x14ac:dyDescent="0.3">
      <c r="A59" t="s">
        <v>636</v>
      </c>
      <c r="B59" t="s">
        <v>25</v>
      </c>
      <c r="C59" t="s">
        <v>956</v>
      </c>
      <c r="D59" t="s">
        <v>269</v>
      </c>
      <c r="E59" t="s">
        <v>101</v>
      </c>
      <c r="F59" t="s">
        <v>40</v>
      </c>
      <c r="G59" t="s">
        <v>26</v>
      </c>
      <c r="H59" s="28">
        <v>1</v>
      </c>
      <c r="I59" t="s">
        <v>90</v>
      </c>
      <c r="J59" s="6">
        <v>6400</v>
      </c>
      <c r="K59" s="6">
        <v>1</v>
      </c>
      <c r="L59" s="9" t="s">
        <v>309</v>
      </c>
      <c r="M59" t="s">
        <v>37</v>
      </c>
      <c r="N59" s="24">
        <v>45305</v>
      </c>
      <c r="O59" t="s">
        <v>99</v>
      </c>
      <c r="P59" s="24">
        <v>45363</v>
      </c>
      <c r="Q59" t="s">
        <v>43</v>
      </c>
      <c r="R59" t="s">
        <v>555</v>
      </c>
      <c r="S59" t="s">
        <v>242</v>
      </c>
      <c r="T59" t="s">
        <v>28</v>
      </c>
      <c r="U59" s="16">
        <v>1185.83</v>
      </c>
      <c r="V59" t="s">
        <v>28</v>
      </c>
      <c r="W59" s="5" t="s">
        <v>249</v>
      </c>
      <c r="X59" s="8" t="s">
        <v>28</v>
      </c>
      <c r="Y59" t="s">
        <v>28</v>
      </c>
      <c r="Z59">
        <v>1185.83</v>
      </c>
      <c r="AA59">
        <f>IF(MainImport[[#This Row],[E/I]]="Import", MONTH(MainImport[[#This Row],[ETA]]), MONTH(MainImport[[#This Row],[ETD]]))</f>
        <v>3</v>
      </c>
      <c r="AB59">
        <f>IF(MainImport[[#This Row],[E/I]]="Import", YEAR(MainImport[[#This Row],[ETA]]), YEAR(MainImport[[#This Row],[ETD]]))</f>
        <v>2024</v>
      </c>
    </row>
    <row r="60" spans="1:28" ht="20.399999999999999" customHeight="1" x14ac:dyDescent="0.3">
      <c r="A60" t="s">
        <v>635</v>
      </c>
      <c r="B60" t="s">
        <v>25</v>
      </c>
      <c r="C60" t="s">
        <v>928</v>
      </c>
      <c r="D60" t="s">
        <v>306</v>
      </c>
      <c r="E60" t="s">
        <v>101</v>
      </c>
      <c r="F60" t="s">
        <v>40</v>
      </c>
      <c r="G60" t="s">
        <v>26</v>
      </c>
      <c r="H60" s="28">
        <v>1</v>
      </c>
      <c r="I60" t="s">
        <v>90</v>
      </c>
      <c r="J60" s="6">
        <v>6248</v>
      </c>
      <c r="K60" s="6">
        <v>1</v>
      </c>
      <c r="L60" s="9" t="s">
        <v>307</v>
      </c>
      <c r="M60" t="s">
        <v>37</v>
      </c>
      <c r="N60" s="24">
        <v>45308</v>
      </c>
      <c r="O60" t="s">
        <v>53</v>
      </c>
      <c r="P60" s="24">
        <v>45363</v>
      </c>
      <c r="Q60" t="s">
        <v>43</v>
      </c>
      <c r="R60" t="s">
        <v>144</v>
      </c>
      <c r="S60" t="s">
        <v>28</v>
      </c>
      <c r="T60" t="s">
        <v>28</v>
      </c>
      <c r="U60" s="16">
        <v>494.8</v>
      </c>
      <c r="V60" t="s">
        <v>28</v>
      </c>
      <c r="W60" s="8" t="s">
        <v>406</v>
      </c>
      <c r="X60" s="8" t="s">
        <v>28</v>
      </c>
      <c r="Y60" t="s">
        <v>28</v>
      </c>
      <c r="Z60">
        <v>494.8</v>
      </c>
      <c r="AA60">
        <f>IF(MainImport[[#This Row],[E/I]]="Import", MONTH(MainImport[[#This Row],[ETA]]), MONTH(MainImport[[#This Row],[ETD]]))</f>
        <v>3</v>
      </c>
      <c r="AB60">
        <f>IF(MainImport[[#This Row],[E/I]]="Import", YEAR(MainImport[[#This Row],[ETA]]), YEAR(MainImport[[#This Row],[ETD]]))</f>
        <v>2024</v>
      </c>
    </row>
    <row r="61" spans="1:28" ht="16.8" customHeight="1" x14ac:dyDescent="0.3">
      <c r="A61" s="9" t="s">
        <v>634</v>
      </c>
      <c r="B61" s="9" t="s">
        <v>25</v>
      </c>
      <c r="C61" s="9" t="s">
        <v>956</v>
      </c>
      <c r="D61" s="9" t="s">
        <v>649</v>
      </c>
      <c r="E61" s="9" t="s">
        <v>101</v>
      </c>
      <c r="F61" s="9" t="s">
        <v>40</v>
      </c>
      <c r="G61" s="9" t="s">
        <v>26</v>
      </c>
      <c r="H61" s="29">
        <v>2</v>
      </c>
      <c r="I61" s="9" t="s">
        <v>41</v>
      </c>
      <c r="J61" s="27">
        <v>36000</v>
      </c>
      <c r="K61" s="27">
        <v>4</v>
      </c>
      <c r="L61" s="15" t="s">
        <v>595</v>
      </c>
      <c r="M61" t="s">
        <v>37</v>
      </c>
      <c r="N61" s="24">
        <v>45314</v>
      </c>
      <c r="O61" t="s">
        <v>62</v>
      </c>
      <c r="P61" s="24">
        <v>45363</v>
      </c>
      <c r="Q61" t="s">
        <v>43</v>
      </c>
      <c r="R61" s="9" t="s">
        <v>555</v>
      </c>
      <c r="S61" s="5" t="s">
        <v>527</v>
      </c>
      <c r="T61" t="s">
        <v>28</v>
      </c>
      <c r="U61" s="16">
        <v>2976.14</v>
      </c>
      <c r="V61" t="s">
        <v>28</v>
      </c>
      <c r="W61" s="5" t="s">
        <v>294</v>
      </c>
      <c r="X61" s="8" t="s">
        <v>295</v>
      </c>
      <c r="Y61" t="s">
        <v>28</v>
      </c>
      <c r="Z61">
        <v>2976.14</v>
      </c>
      <c r="AA61">
        <f>IF(MainImport[[#This Row],[E/I]]="Import", MONTH(MainImport[[#This Row],[ETA]]), MONTH(MainImport[[#This Row],[ETD]]))</f>
        <v>3</v>
      </c>
      <c r="AB61">
        <f>IF(MainImport[[#This Row],[E/I]]="Import", YEAR(MainImport[[#This Row],[ETA]]), YEAR(MainImport[[#This Row],[ETD]]))</f>
        <v>2024</v>
      </c>
    </row>
    <row r="62" spans="1:28" ht="21" customHeight="1" x14ac:dyDescent="0.3">
      <c r="A62" t="s">
        <v>259</v>
      </c>
      <c r="B62" t="s">
        <v>25</v>
      </c>
      <c r="C62" t="s">
        <v>906</v>
      </c>
      <c r="D62" t="s">
        <v>260</v>
      </c>
      <c r="E62" t="s">
        <v>50</v>
      </c>
      <c r="F62" t="s">
        <v>63</v>
      </c>
      <c r="G62" t="s">
        <v>29</v>
      </c>
      <c r="H62" s="28">
        <v>101</v>
      </c>
      <c r="I62" t="s">
        <v>60</v>
      </c>
      <c r="J62" s="6">
        <v>1972.33</v>
      </c>
      <c r="K62" s="6">
        <v>9.3179999999999996</v>
      </c>
      <c r="L62" s="9" t="s">
        <v>449</v>
      </c>
      <c r="M62" t="s">
        <v>37</v>
      </c>
      <c r="N62" s="24">
        <v>45313</v>
      </c>
      <c r="O62" t="s">
        <v>73</v>
      </c>
      <c r="P62" s="25">
        <v>45364</v>
      </c>
      <c r="Q62" t="s">
        <v>43</v>
      </c>
      <c r="R62" t="s">
        <v>197</v>
      </c>
      <c r="S62" t="s">
        <v>28</v>
      </c>
      <c r="T62" t="s">
        <v>28</v>
      </c>
      <c r="U62" s="16">
        <v>440.51</v>
      </c>
      <c r="V62" t="s">
        <v>28</v>
      </c>
      <c r="W62" s="5" t="s">
        <v>255</v>
      </c>
      <c r="X62" s="5" t="s">
        <v>254</v>
      </c>
      <c r="Y62" t="s">
        <v>28</v>
      </c>
      <c r="Z62">
        <v>440.51</v>
      </c>
      <c r="AA62">
        <f>IF(MainImport[[#This Row],[E/I]]="Import", MONTH(MainImport[[#This Row],[ETA]]), MONTH(MainImport[[#This Row],[ETD]]))</f>
        <v>3</v>
      </c>
      <c r="AB62">
        <f>IF(MainImport[[#This Row],[E/I]]="Import", YEAR(MainImport[[#This Row],[ETA]]), YEAR(MainImport[[#This Row],[ETD]]))</f>
        <v>2024</v>
      </c>
    </row>
    <row r="63" spans="1:28" ht="18.600000000000001" customHeight="1" x14ac:dyDescent="0.3">
      <c r="A63" t="s">
        <v>283</v>
      </c>
      <c r="B63" t="s">
        <v>25</v>
      </c>
      <c r="C63" t="s">
        <v>926</v>
      </c>
      <c r="D63" t="s">
        <v>322</v>
      </c>
      <c r="E63" t="s">
        <v>101</v>
      </c>
      <c r="F63" t="s">
        <v>40</v>
      </c>
      <c r="G63" t="s">
        <v>26</v>
      </c>
      <c r="H63" s="28">
        <v>1</v>
      </c>
      <c r="I63" t="s">
        <v>41</v>
      </c>
      <c r="J63" s="6">
        <v>6572</v>
      </c>
      <c r="K63" s="6">
        <v>2</v>
      </c>
      <c r="L63" s="9" t="s">
        <v>347</v>
      </c>
      <c r="M63" t="s">
        <v>37</v>
      </c>
      <c r="N63" s="24">
        <v>45324</v>
      </c>
      <c r="O63" t="s">
        <v>53</v>
      </c>
      <c r="P63" s="24">
        <v>45364</v>
      </c>
      <c r="Q63" t="s">
        <v>43</v>
      </c>
      <c r="R63" t="s">
        <v>541</v>
      </c>
      <c r="S63" t="s">
        <v>28</v>
      </c>
      <c r="T63" t="s">
        <v>28</v>
      </c>
      <c r="U63" s="16">
        <v>1938.44</v>
      </c>
      <c r="V63" t="s">
        <v>28</v>
      </c>
      <c r="W63" s="5" t="s">
        <v>640</v>
      </c>
      <c r="X63" s="8" t="s">
        <v>28</v>
      </c>
      <c r="Y63" t="s">
        <v>28</v>
      </c>
      <c r="Z63">
        <v>1938.44</v>
      </c>
      <c r="AA63">
        <f>IF(MainImport[[#This Row],[E/I]]="Import", MONTH(MainImport[[#This Row],[ETA]]), MONTH(MainImport[[#This Row],[ETD]]))</f>
        <v>3</v>
      </c>
      <c r="AB63">
        <f>IF(MainImport[[#This Row],[E/I]]="Import", YEAR(MainImport[[#This Row],[ETA]]), YEAR(MainImport[[#This Row],[ETD]]))</f>
        <v>2024</v>
      </c>
    </row>
    <row r="64" spans="1:28" ht="19.2" customHeight="1" x14ac:dyDescent="0.3">
      <c r="A64" t="s">
        <v>236</v>
      </c>
      <c r="B64" t="s">
        <v>25</v>
      </c>
      <c r="C64" t="s">
        <v>937</v>
      </c>
      <c r="D64" t="s">
        <v>310</v>
      </c>
      <c r="E64" t="s">
        <v>101</v>
      </c>
      <c r="F64" t="s">
        <v>40</v>
      </c>
      <c r="G64" t="s">
        <v>26</v>
      </c>
      <c r="H64" s="28">
        <v>1</v>
      </c>
      <c r="I64" t="s">
        <v>90</v>
      </c>
      <c r="J64" s="6">
        <v>20187</v>
      </c>
      <c r="K64" s="6">
        <v>1</v>
      </c>
      <c r="L64" s="9" t="s">
        <v>339</v>
      </c>
      <c r="M64" t="s">
        <v>37</v>
      </c>
      <c r="N64" s="24">
        <v>45307</v>
      </c>
      <c r="O64" t="s">
        <v>89</v>
      </c>
      <c r="P64" s="24">
        <v>45364</v>
      </c>
      <c r="Q64" t="s">
        <v>43</v>
      </c>
      <c r="R64" t="s">
        <v>44</v>
      </c>
      <c r="S64" t="s">
        <v>28</v>
      </c>
      <c r="T64" t="s">
        <v>28</v>
      </c>
      <c r="U64" s="16">
        <v>776.63</v>
      </c>
      <c r="V64" t="s">
        <v>28</v>
      </c>
      <c r="W64" s="5" t="s">
        <v>530</v>
      </c>
      <c r="X64" s="8" t="s">
        <v>268</v>
      </c>
      <c r="Y64" t="s">
        <v>529</v>
      </c>
      <c r="Z64">
        <v>776.63</v>
      </c>
      <c r="AA64">
        <f>IF(MainImport[[#This Row],[E/I]]="Import", MONTH(MainImport[[#This Row],[ETA]]), MONTH(MainImport[[#This Row],[ETD]]))</f>
        <v>3</v>
      </c>
      <c r="AB64">
        <f>IF(MainImport[[#This Row],[E/I]]="Import", YEAR(MainImport[[#This Row],[ETA]]), YEAR(MainImport[[#This Row],[ETD]]))</f>
        <v>2024</v>
      </c>
    </row>
    <row r="65" spans="1:28" ht="19.2" customHeight="1" x14ac:dyDescent="0.3">
      <c r="A65" s="5" t="s">
        <v>663</v>
      </c>
      <c r="B65" t="s">
        <v>25</v>
      </c>
      <c r="C65" t="s">
        <v>907</v>
      </c>
      <c r="D65" t="s">
        <v>403</v>
      </c>
      <c r="E65" t="s">
        <v>107</v>
      </c>
      <c r="F65" t="s">
        <v>40</v>
      </c>
      <c r="G65" t="s">
        <v>26</v>
      </c>
      <c r="H65" s="28">
        <v>2</v>
      </c>
      <c r="I65" t="s">
        <v>41</v>
      </c>
      <c r="J65" s="6">
        <v>18911.2</v>
      </c>
      <c r="K65" s="6">
        <v>4</v>
      </c>
      <c r="L65" s="5" t="s">
        <v>380</v>
      </c>
      <c r="M65" t="s">
        <v>37</v>
      </c>
      <c r="N65" s="24">
        <v>45322</v>
      </c>
      <c r="O65" t="s">
        <v>53</v>
      </c>
      <c r="P65" s="24">
        <v>45366</v>
      </c>
      <c r="Q65" t="s">
        <v>43</v>
      </c>
      <c r="R65" s="14" t="s">
        <v>547</v>
      </c>
      <c r="S65" t="s">
        <v>592</v>
      </c>
      <c r="T65" t="s">
        <v>909</v>
      </c>
      <c r="U65" s="16">
        <v>2522.67</v>
      </c>
      <c r="V65" t="s">
        <v>28</v>
      </c>
      <c r="W65" s="5" t="s">
        <v>512</v>
      </c>
      <c r="X65" s="5" t="s">
        <v>513</v>
      </c>
      <c r="Y65" t="s">
        <v>497</v>
      </c>
      <c r="Z65">
        <v>2522.67</v>
      </c>
      <c r="AA65">
        <f>IF(MainImport[[#This Row],[E/I]]="Import", MONTH(MainImport[[#This Row],[ETA]]), MONTH(MainImport[[#This Row],[ETD]]))</f>
        <v>3</v>
      </c>
      <c r="AB65">
        <f>IF(MainImport[[#This Row],[E/I]]="Import", YEAR(MainImport[[#This Row],[ETA]]), YEAR(MainImport[[#This Row],[ETD]]))</f>
        <v>2024</v>
      </c>
    </row>
    <row r="66" spans="1:28" ht="18" customHeight="1" x14ac:dyDescent="0.3">
      <c r="A66" t="s">
        <v>343</v>
      </c>
      <c r="B66" t="s">
        <v>25</v>
      </c>
      <c r="C66" t="s">
        <v>959</v>
      </c>
      <c r="D66" t="s">
        <v>346</v>
      </c>
      <c r="E66" t="s">
        <v>107</v>
      </c>
      <c r="F66" t="s">
        <v>40</v>
      </c>
      <c r="G66" t="s">
        <v>26</v>
      </c>
      <c r="H66" s="28">
        <v>3</v>
      </c>
      <c r="I66" t="s">
        <v>90</v>
      </c>
      <c r="J66" s="6" t="s">
        <v>28</v>
      </c>
      <c r="K66" s="6">
        <v>3</v>
      </c>
      <c r="L66" s="5" t="s">
        <v>474</v>
      </c>
      <c r="M66" t="s">
        <v>37</v>
      </c>
      <c r="N66" s="24">
        <v>45322</v>
      </c>
      <c r="O66" t="s">
        <v>53</v>
      </c>
      <c r="P66" s="24">
        <v>45366</v>
      </c>
      <c r="Q66" t="s">
        <v>43</v>
      </c>
      <c r="R66" t="s">
        <v>340</v>
      </c>
      <c r="S66" t="s">
        <v>28</v>
      </c>
      <c r="T66" t="s">
        <v>28</v>
      </c>
      <c r="U66" s="16">
        <v>2479.39</v>
      </c>
      <c r="V66" t="s">
        <v>28</v>
      </c>
      <c r="W66" s="5" t="s">
        <v>341</v>
      </c>
      <c r="X66" s="5" t="s">
        <v>342</v>
      </c>
      <c r="Y66" t="s">
        <v>28</v>
      </c>
      <c r="Z66">
        <v>2479.39</v>
      </c>
      <c r="AA66">
        <f>IF(MainImport[[#This Row],[E/I]]="Import", MONTH(MainImport[[#This Row],[ETA]]), MONTH(MainImport[[#This Row],[ETD]]))</f>
        <v>3</v>
      </c>
      <c r="AB66">
        <f>IF(MainImport[[#This Row],[E/I]]="Import", YEAR(MainImport[[#This Row],[ETA]]), YEAR(MainImport[[#This Row],[ETD]]))</f>
        <v>2024</v>
      </c>
    </row>
    <row r="67" spans="1:28" ht="18" customHeight="1" x14ac:dyDescent="0.3">
      <c r="A67" t="s">
        <v>669</v>
      </c>
      <c r="B67" t="s">
        <v>25</v>
      </c>
      <c r="C67" t="s">
        <v>918</v>
      </c>
      <c r="D67" s="17" t="s">
        <v>594</v>
      </c>
      <c r="E67" t="s">
        <v>107</v>
      </c>
      <c r="F67" t="s">
        <v>40</v>
      </c>
      <c r="G67" t="s">
        <v>26</v>
      </c>
      <c r="H67" s="28">
        <v>1</v>
      </c>
      <c r="I67" t="s">
        <v>41</v>
      </c>
      <c r="J67" s="6">
        <v>11080</v>
      </c>
      <c r="K67" s="6">
        <v>2</v>
      </c>
      <c r="L67" s="9" t="s">
        <v>353</v>
      </c>
      <c r="M67" t="s">
        <v>37</v>
      </c>
      <c r="N67" s="24">
        <v>45322</v>
      </c>
      <c r="O67" t="s">
        <v>281</v>
      </c>
      <c r="P67" s="24">
        <v>45366</v>
      </c>
      <c r="Q67" t="s">
        <v>43</v>
      </c>
      <c r="R67" t="s">
        <v>541</v>
      </c>
      <c r="S67" t="s">
        <v>593</v>
      </c>
      <c r="T67" t="s">
        <v>28</v>
      </c>
      <c r="U67" s="16">
        <v>961.56</v>
      </c>
      <c r="V67" t="s">
        <v>28</v>
      </c>
      <c r="W67" s="5" t="s">
        <v>314</v>
      </c>
      <c r="X67" s="8" t="s">
        <v>313</v>
      </c>
      <c r="Y67" t="s">
        <v>28</v>
      </c>
      <c r="Z67">
        <v>961.56</v>
      </c>
      <c r="AA67">
        <f>IF(MainImport[[#This Row],[E/I]]="Import", MONTH(MainImport[[#This Row],[ETA]]), MONTH(MainImport[[#This Row],[ETD]]))</f>
        <v>3</v>
      </c>
      <c r="AB67">
        <f>IF(MainImport[[#This Row],[E/I]]="Import", YEAR(MainImport[[#This Row],[ETA]]), YEAR(MainImport[[#This Row],[ETD]]))</f>
        <v>2024</v>
      </c>
    </row>
    <row r="68" spans="1:28" ht="18" customHeight="1" x14ac:dyDescent="0.3">
      <c r="A68" t="s">
        <v>303</v>
      </c>
      <c r="B68" t="s">
        <v>25</v>
      </c>
      <c r="C68" t="s">
        <v>949</v>
      </c>
      <c r="D68" t="s">
        <v>302</v>
      </c>
      <c r="E68" t="s">
        <v>213</v>
      </c>
      <c r="F68" t="s">
        <v>63</v>
      </c>
      <c r="G68" t="s">
        <v>26</v>
      </c>
      <c r="H68" s="28">
        <v>1</v>
      </c>
      <c r="I68" t="s">
        <v>41</v>
      </c>
      <c r="J68" s="6">
        <v>12590</v>
      </c>
      <c r="K68" s="6">
        <v>2</v>
      </c>
      <c r="L68" s="9" t="s">
        <v>305</v>
      </c>
      <c r="M68" t="s">
        <v>37</v>
      </c>
      <c r="N68" s="24">
        <v>45305</v>
      </c>
      <c r="O68" t="s">
        <v>220</v>
      </c>
      <c r="P68" s="24">
        <v>45366</v>
      </c>
      <c r="Q68" t="s">
        <v>43</v>
      </c>
      <c r="R68" t="s">
        <v>382</v>
      </c>
      <c r="S68" t="s">
        <v>28</v>
      </c>
      <c r="T68" t="s">
        <v>28</v>
      </c>
      <c r="U68" s="16">
        <v>4012.78</v>
      </c>
      <c r="V68" t="s">
        <v>28</v>
      </c>
      <c r="W68" s="5" t="s">
        <v>656</v>
      </c>
      <c r="X68" s="5" t="s">
        <v>304</v>
      </c>
      <c r="Y68" t="s">
        <v>28</v>
      </c>
      <c r="Z68">
        <v>4012.78</v>
      </c>
      <c r="AA68">
        <f>IF(MainImport[[#This Row],[E/I]]="Import", MONTH(MainImport[[#This Row],[ETA]]), MONTH(MainImport[[#This Row],[ETD]]))</f>
        <v>3</v>
      </c>
      <c r="AB68">
        <f>IF(MainImport[[#This Row],[E/I]]="Import", YEAR(MainImport[[#This Row],[ETA]]), YEAR(MainImport[[#This Row],[ETD]]))</f>
        <v>2024</v>
      </c>
    </row>
    <row r="69" spans="1:28" ht="17.399999999999999" customHeight="1" x14ac:dyDescent="0.3">
      <c r="A69" t="s">
        <v>327</v>
      </c>
      <c r="B69" t="s">
        <v>25</v>
      </c>
      <c r="C69" t="s">
        <v>952</v>
      </c>
      <c r="D69" t="s">
        <v>354</v>
      </c>
      <c r="E69" t="s">
        <v>101</v>
      </c>
      <c r="F69" t="s">
        <v>40</v>
      </c>
      <c r="G69" t="s">
        <v>26</v>
      </c>
      <c r="H69" s="28">
        <v>1</v>
      </c>
      <c r="I69" t="s">
        <v>41</v>
      </c>
      <c r="J69" s="6">
        <v>12030</v>
      </c>
      <c r="K69" s="6">
        <v>2</v>
      </c>
      <c r="L69" s="9" t="s">
        <v>364</v>
      </c>
      <c r="M69" t="s">
        <v>37</v>
      </c>
      <c r="N69" s="24">
        <v>45315</v>
      </c>
      <c r="O69" t="s">
        <v>89</v>
      </c>
      <c r="P69" s="24">
        <v>45370</v>
      </c>
      <c r="Q69" t="s">
        <v>43</v>
      </c>
      <c r="R69" t="s">
        <v>103</v>
      </c>
      <c r="S69" t="s">
        <v>28</v>
      </c>
      <c r="T69" t="s">
        <v>28</v>
      </c>
      <c r="U69" s="16">
        <v>659.47</v>
      </c>
      <c r="V69" t="s">
        <v>28</v>
      </c>
      <c r="W69" s="5" t="s">
        <v>325</v>
      </c>
      <c r="X69" s="8" t="s">
        <v>326</v>
      </c>
      <c r="Y69" t="s">
        <v>28</v>
      </c>
      <c r="Z69">
        <v>659.47</v>
      </c>
      <c r="AA69">
        <f>IF(MainImport[[#This Row],[E/I]]="Import", MONTH(MainImport[[#This Row],[ETA]]), MONTH(MainImport[[#This Row],[ETD]]))</f>
        <v>3</v>
      </c>
      <c r="AB69">
        <f>IF(MainImport[[#This Row],[E/I]]="Import", YEAR(MainImport[[#This Row],[ETA]]), YEAR(MainImport[[#This Row],[ETD]]))</f>
        <v>2024</v>
      </c>
    </row>
    <row r="70" spans="1:28" ht="16.8" customHeight="1" x14ac:dyDescent="0.3">
      <c r="A70" t="s">
        <v>169</v>
      </c>
      <c r="B70" t="s">
        <v>25</v>
      </c>
      <c r="C70" t="s">
        <v>952</v>
      </c>
      <c r="D70" t="s">
        <v>206</v>
      </c>
      <c r="E70" t="s">
        <v>78</v>
      </c>
      <c r="F70" t="s">
        <v>40</v>
      </c>
      <c r="G70" t="s">
        <v>29</v>
      </c>
      <c r="H70" s="28">
        <v>4</v>
      </c>
      <c r="I70" t="s">
        <v>83</v>
      </c>
      <c r="J70" s="6">
        <v>2072.23</v>
      </c>
      <c r="K70" s="6">
        <v>3.8010000000000002</v>
      </c>
      <c r="L70" s="9" t="s">
        <v>207</v>
      </c>
      <c r="M70" t="s">
        <v>37</v>
      </c>
      <c r="N70" s="24">
        <v>45280</v>
      </c>
      <c r="O70" t="s">
        <v>203</v>
      </c>
      <c r="P70" s="25">
        <v>45372</v>
      </c>
      <c r="Q70" t="s">
        <v>43</v>
      </c>
      <c r="R70" t="s">
        <v>103</v>
      </c>
      <c r="S70" t="s">
        <v>189</v>
      </c>
      <c r="T70" t="s">
        <v>28</v>
      </c>
      <c r="U70" s="16">
        <v>434.36</v>
      </c>
      <c r="V70" t="s">
        <v>28</v>
      </c>
      <c r="W70" s="5" t="s">
        <v>168</v>
      </c>
      <c r="X70" s="8" t="s">
        <v>28</v>
      </c>
      <c r="Y70" t="s">
        <v>28</v>
      </c>
      <c r="Z70">
        <v>434.36</v>
      </c>
      <c r="AA70">
        <f>IF(MainImport[[#This Row],[E/I]]="Import", MONTH(MainImport[[#This Row],[ETA]]), MONTH(MainImport[[#This Row],[ETD]]))</f>
        <v>3</v>
      </c>
      <c r="AB70">
        <f>IF(MainImport[[#This Row],[E/I]]="Import", YEAR(MainImport[[#This Row],[ETA]]), YEAR(MainImport[[#This Row],[ETD]]))</f>
        <v>2024</v>
      </c>
    </row>
    <row r="71" spans="1:28" ht="19.2" customHeight="1" x14ac:dyDescent="0.3">
      <c r="A71" t="s">
        <v>171</v>
      </c>
      <c r="B71" t="s">
        <v>25</v>
      </c>
      <c r="C71" t="s">
        <v>936</v>
      </c>
      <c r="D71" s="17" t="s">
        <v>266</v>
      </c>
      <c r="E71" t="s">
        <v>101</v>
      </c>
      <c r="F71" t="s">
        <v>63</v>
      </c>
      <c r="G71" t="s">
        <v>26</v>
      </c>
      <c r="H71" s="28">
        <v>1</v>
      </c>
      <c r="I71" t="s">
        <v>90</v>
      </c>
      <c r="J71" s="6">
        <v>17220</v>
      </c>
      <c r="K71" s="6">
        <v>1</v>
      </c>
      <c r="L71" s="9" t="s">
        <v>387</v>
      </c>
      <c r="M71" t="s">
        <v>37</v>
      </c>
      <c r="N71" s="24">
        <v>45305</v>
      </c>
      <c r="O71" t="s">
        <v>210</v>
      </c>
      <c r="P71" s="24">
        <v>45372</v>
      </c>
      <c r="Q71" t="s">
        <v>43</v>
      </c>
      <c r="R71" t="s">
        <v>144</v>
      </c>
      <c r="S71" t="s">
        <v>28</v>
      </c>
      <c r="T71" t="s">
        <v>28</v>
      </c>
      <c r="U71" s="16">
        <v>728.65</v>
      </c>
      <c r="V71" t="s">
        <v>28</v>
      </c>
      <c r="W71" s="5" t="s">
        <v>711</v>
      </c>
      <c r="X71" s="8" t="s">
        <v>28</v>
      </c>
      <c r="Y71" t="s">
        <v>28</v>
      </c>
      <c r="Z71">
        <v>728.65</v>
      </c>
      <c r="AA71">
        <f>IF(MainImport[[#This Row],[E/I]]="Import", MONTH(MainImport[[#This Row],[ETA]]), MONTH(MainImport[[#This Row],[ETD]]))</f>
        <v>3</v>
      </c>
      <c r="AB71">
        <f>IF(MainImport[[#This Row],[E/I]]="Import", YEAR(MainImport[[#This Row],[ETA]]), YEAR(MainImport[[#This Row],[ETD]]))</f>
        <v>2024</v>
      </c>
    </row>
    <row r="72" spans="1:28" ht="16.8" customHeight="1" x14ac:dyDescent="0.3">
      <c r="A72" t="s">
        <v>317</v>
      </c>
      <c r="B72" t="s">
        <v>25</v>
      </c>
      <c r="C72" s="9" t="s">
        <v>937</v>
      </c>
      <c r="D72" t="s">
        <v>262</v>
      </c>
      <c r="E72" t="s">
        <v>50</v>
      </c>
      <c r="F72" t="s">
        <v>40</v>
      </c>
      <c r="G72" t="s">
        <v>29</v>
      </c>
      <c r="H72" s="28">
        <v>14</v>
      </c>
      <c r="I72" t="s">
        <v>60</v>
      </c>
      <c r="J72" s="6">
        <v>12420</v>
      </c>
      <c r="K72" s="6">
        <v>17.846</v>
      </c>
      <c r="L72" s="9" t="s">
        <v>408</v>
      </c>
      <c r="M72" t="s">
        <v>37</v>
      </c>
      <c r="N72" s="24">
        <v>45318</v>
      </c>
      <c r="O72" t="s">
        <v>62</v>
      </c>
      <c r="P72" s="25">
        <v>45373</v>
      </c>
      <c r="Q72" t="s">
        <v>43</v>
      </c>
      <c r="R72" t="s">
        <v>44</v>
      </c>
      <c r="S72" t="s">
        <v>606</v>
      </c>
      <c r="T72" t="s">
        <v>28</v>
      </c>
      <c r="U72" s="16">
        <v>663.99</v>
      </c>
      <c r="V72" t="s">
        <v>28</v>
      </c>
      <c r="W72" s="5" t="s">
        <v>316</v>
      </c>
      <c r="X72" s="8" t="s">
        <v>318</v>
      </c>
      <c r="Y72" t="s">
        <v>532</v>
      </c>
      <c r="Z72">
        <v>663.99</v>
      </c>
      <c r="AA72">
        <f>IF(MainImport[[#This Row],[E/I]]="Import", MONTH(MainImport[[#This Row],[ETA]]), MONTH(MainImport[[#This Row],[ETD]]))</f>
        <v>3</v>
      </c>
      <c r="AB72">
        <f>IF(MainImport[[#This Row],[E/I]]="Import", YEAR(MainImport[[#This Row],[ETA]]), YEAR(MainImport[[#This Row],[ETD]]))</f>
        <v>2024</v>
      </c>
    </row>
    <row r="73" spans="1:28" ht="17.399999999999999" customHeight="1" x14ac:dyDescent="0.3">
      <c r="A73" t="s">
        <v>244</v>
      </c>
      <c r="B73" t="s">
        <v>25</v>
      </c>
      <c r="C73" t="s">
        <v>951</v>
      </c>
      <c r="D73" t="s">
        <v>404</v>
      </c>
      <c r="E73" t="s">
        <v>107</v>
      </c>
      <c r="F73" t="s">
        <v>40</v>
      </c>
      <c r="G73" t="s">
        <v>26</v>
      </c>
      <c r="H73" s="28">
        <v>1</v>
      </c>
      <c r="I73" t="s">
        <v>90</v>
      </c>
      <c r="J73" s="6">
        <v>12983.33</v>
      </c>
      <c r="K73" s="6">
        <v>1</v>
      </c>
      <c r="L73" s="9" t="s">
        <v>393</v>
      </c>
      <c r="M73" t="s">
        <v>37</v>
      </c>
      <c r="N73" s="24">
        <v>45327</v>
      </c>
      <c r="O73" t="s">
        <v>53</v>
      </c>
      <c r="P73" s="24">
        <v>45376</v>
      </c>
      <c r="Q73" t="s">
        <v>43</v>
      </c>
      <c r="R73" t="s">
        <v>232</v>
      </c>
      <c r="S73" t="s">
        <v>28</v>
      </c>
      <c r="T73" t="s">
        <v>28</v>
      </c>
      <c r="U73" s="16">
        <v>1304.68</v>
      </c>
      <c r="V73" t="s">
        <v>28</v>
      </c>
      <c r="W73" s="5" t="s">
        <v>291</v>
      </c>
      <c r="X73" s="8" t="s">
        <v>806</v>
      </c>
      <c r="Y73" s="8" t="s">
        <v>419</v>
      </c>
      <c r="Z73">
        <v>1304.68</v>
      </c>
      <c r="AA73">
        <f>IF(MainImport[[#This Row],[E/I]]="Import", MONTH(MainImport[[#This Row],[ETA]]), MONTH(MainImport[[#This Row],[ETD]]))</f>
        <v>3</v>
      </c>
      <c r="AB73">
        <f>IF(MainImport[[#This Row],[E/I]]="Import", YEAR(MainImport[[#This Row],[ETA]]), YEAR(MainImport[[#This Row],[ETD]]))</f>
        <v>2024</v>
      </c>
    </row>
    <row r="74" spans="1:28" ht="16.8" customHeight="1" x14ac:dyDescent="0.3">
      <c r="A74" t="s">
        <v>248</v>
      </c>
      <c r="B74" t="s">
        <v>25</v>
      </c>
      <c r="C74" t="s">
        <v>947</v>
      </c>
      <c r="D74" t="s">
        <v>247</v>
      </c>
      <c r="E74" t="s">
        <v>28</v>
      </c>
      <c r="F74" t="s">
        <v>40</v>
      </c>
      <c r="G74" t="s">
        <v>29</v>
      </c>
      <c r="H74" s="28">
        <v>5</v>
      </c>
      <c r="I74" t="s">
        <v>83</v>
      </c>
      <c r="J74" s="6">
        <v>6985</v>
      </c>
      <c r="K74" s="6">
        <v>3.04</v>
      </c>
      <c r="L74" s="9" t="s">
        <v>407</v>
      </c>
      <c r="M74" t="s">
        <v>37</v>
      </c>
      <c r="N74" s="24">
        <v>45321</v>
      </c>
      <c r="O74" t="s">
        <v>99</v>
      </c>
      <c r="P74" s="25">
        <v>45377</v>
      </c>
      <c r="Q74" t="s">
        <v>43</v>
      </c>
      <c r="R74" t="s">
        <v>28</v>
      </c>
      <c r="S74" t="s">
        <v>28</v>
      </c>
      <c r="T74" t="s">
        <v>28</v>
      </c>
      <c r="U74" s="16">
        <v>594.37</v>
      </c>
      <c r="V74" t="s">
        <v>28</v>
      </c>
      <c r="W74" s="5" t="s">
        <v>245</v>
      </c>
      <c r="X74" s="5" t="s">
        <v>246</v>
      </c>
      <c r="Y74" t="s">
        <v>28</v>
      </c>
      <c r="Z74">
        <v>594.37</v>
      </c>
      <c r="AA74">
        <f>IF(MainImport[[#This Row],[E/I]]="Import", MONTH(MainImport[[#This Row],[ETA]]), MONTH(MainImport[[#This Row],[ETD]]))</f>
        <v>3</v>
      </c>
      <c r="AB74">
        <f>IF(MainImport[[#This Row],[E/I]]="Import", YEAR(MainImport[[#This Row],[ETA]]), YEAR(MainImport[[#This Row],[ETD]]))</f>
        <v>2024</v>
      </c>
    </row>
    <row r="75" spans="1:28" ht="19.2" customHeight="1" x14ac:dyDescent="0.3">
      <c r="A75" t="s">
        <v>315</v>
      </c>
      <c r="B75" t="s">
        <v>25</v>
      </c>
      <c r="C75" t="s">
        <v>937</v>
      </c>
      <c r="D75" t="s">
        <v>270</v>
      </c>
      <c r="E75" t="s">
        <v>50</v>
      </c>
      <c r="F75" t="s">
        <v>40</v>
      </c>
      <c r="G75" t="s">
        <v>29</v>
      </c>
      <c r="H75" s="28">
        <v>4</v>
      </c>
      <c r="I75" t="s">
        <v>83</v>
      </c>
      <c r="J75" s="6">
        <v>4868</v>
      </c>
      <c r="K75" s="6">
        <v>4.59</v>
      </c>
      <c r="L75" s="9" t="s">
        <v>422</v>
      </c>
      <c r="M75" t="s">
        <v>37</v>
      </c>
      <c r="N75" s="24">
        <v>45323</v>
      </c>
      <c r="O75" t="s">
        <v>89</v>
      </c>
      <c r="P75" s="25">
        <v>45378</v>
      </c>
      <c r="Q75" t="s">
        <v>43</v>
      </c>
      <c r="R75" t="s">
        <v>44</v>
      </c>
      <c r="S75" t="s">
        <v>717</v>
      </c>
      <c r="T75" t="s">
        <v>28</v>
      </c>
      <c r="U75" s="17" t="s">
        <v>28</v>
      </c>
      <c r="V75" t="s">
        <v>28</v>
      </c>
      <c r="W75" s="5" t="s">
        <v>298</v>
      </c>
      <c r="X75" s="5" t="s">
        <v>271</v>
      </c>
      <c r="Y75" t="s">
        <v>531</v>
      </c>
      <c r="Z75">
        <v>465</v>
      </c>
      <c r="AA75">
        <f>IF(MainImport[[#This Row],[E/I]]="Import", MONTH(MainImport[[#This Row],[ETA]]), MONTH(MainImport[[#This Row],[ETD]]))</f>
        <v>3</v>
      </c>
      <c r="AB75">
        <f>IF(MainImport[[#This Row],[E/I]]="Import", YEAR(MainImport[[#This Row],[ETA]]), YEAR(MainImport[[#This Row],[ETD]]))</f>
        <v>2024</v>
      </c>
    </row>
    <row r="76" spans="1:28" ht="19.8" customHeight="1" x14ac:dyDescent="0.3">
      <c r="A76" t="s">
        <v>357</v>
      </c>
      <c r="B76" t="s">
        <v>25</v>
      </c>
      <c r="C76" t="s">
        <v>952</v>
      </c>
      <c r="D76" t="s">
        <v>374</v>
      </c>
      <c r="E76" t="s">
        <v>101</v>
      </c>
      <c r="F76" t="s">
        <v>40</v>
      </c>
      <c r="G76" t="s">
        <v>26</v>
      </c>
      <c r="H76" s="28">
        <v>1</v>
      </c>
      <c r="I76" t="s">
        <v>41</v>
      </c>
      <c r="J76" s="6">
        <v>24244</v>
      </c>
      <c r="K76" s="6">
        <v>2</v>
      </c>
      <c r="L76" s="9" t="s">
        <v>429</v>
      </c>
      <c r="M76" t="s">
        <v>37</v>
      </c>
      <c r="N76" s="24">
        <v>45333</v>
      </c>
      <c r="O76" t="s">
        <v>53</v>
      </c>
      <c r="P76" s="24">
        <v>45378</v>
      </c>
      <c r="Q76" t="s">
        <v>43</v>
      </c>
      <c r="R76" t="s">
        <v>103</v>
      </c>
      <c r="S76" t="s">
        <v>28</v>
      </c>
      <c r="T76" t="s">
        <v>28</v>
      </c>
      <c r="U76" s="17" t="s">
        <v>28</v>
      </c>
      <c r="V76" t="s">
        <v>28</v>
      </c>
      <c r="W76" s="5" t="s">
        <v>356</v>
      </c>
      <c r="X76" s="8" t="s">
        <v>355</v>
      </c>
      <c r="Y76" t="s">
        <v>28</v>
      </c>
      <c r="Z76">
        <v>1276</v>
      </c>
      <c r="AA76">
        <f>IF(MainImport[[#This Row],[E/I]]="Import", MONTH(MainImport[[#This Row],[ETA]]), MONTH(MainImport[[#This Row],[ETD]]))</f>
        <v>3</v>
      </c>
      <c r="AB76">
        <f>IF(MainImport[[#This Row],[E/I]]="Import", YEAR(MainImport[[#This Row],[ETA]]), YEAR(MainImport[[#This Row],[ETD]]))</f>
        <v>2024</v>
      </c>
    </row>
    <row r="77" spans="1:28" ht="21" customHeight="1" x14ac:dyDescent="0.3">
      <c r="A77" t="s">
        <v>359</v>
      </c>
      <c r="B77" t="s">
        <v>25</v>
      </c>
      <c r="C77" t="s">
        <v>952</v>
      </c>
      <c r="D77" t="s">
        <v>388</v>
      </c>
      <c r="E77" t="s">
        <v>101</v>
      </c>
      <c r="F77" t="s">
        <v>40</v>
      </c>
      <c r="G77" t="s">
        <v>26</v>
      </c>
      <c r="H77" s="28">
        <v>1</v>
      </c>
      <c r="I77" t="s">
        <v>41</v>
      </c>
      <c r="J77" s="6">
        <v>18725.5</v>
      </c>
      <c r="K77" s="6">
        <v>2</v>
      </c>
      <c r="L77" s="9" t="s">
        <v>428</v>
      </c>
      <c r="M77" t="s">
        <v>37</v>
      </c>
      <c r="N77" s="24">
        <v>45333</v>
      </c>
      <c r="O77" t="s">
        <v>53</v>
      </c>
      <c r="P77" s="24">
        <v>45378</v>
      </c>
      <c r="Q77" t="s">
        <v>43</v>
      </c>
      <c r="R77" t="s">
        <v>103</v>
      </c>
      <c r="S77" t="s">
        <v>28</v>
      </c>
      <c r="T77" t="s">
        <v>28</v>
      </c>
      <c r="U77" s="17" t="s">
        <v>28</v>
      </c>
      <c r="V77" t="s">
        <v>28</v>
      </c>
      <c r="W77" s="5" t="s">
        <v>358</v>
      </c>
      <c r="X77" s="8" t="s">
        <v>355</v>
      </c>
      <c r="Y77" t="s">
        <v>28</v>
      </c>
      <c r="Z77">
        <v>1074</v>
      </c>
      <c r="AA77">
        <f>IF(MainImport[[#This Row],[E/I]]="Import", MONTH(MainImport[[#This Row],[ETA]]), MONTH(MainImport[[#This Row],[ETD]]))</f>
        <v>3</v>
      </c>
      <c r="AB77">
        <f>IF(MainImport[[#This Row],[E/I]]="Import", YEAR(MainImport[[#This Row],[ETA]]), YEAR(MainImport[[#This Row],[ETD]]))</f>
        <v>2024</v>
      </c>
    </row>
    <row r="78" spans="1:28" ht="20.399999999999999" customHeight="1" x14ac:dyDescent="0.3">
      <c r="A78" t="s">
        <v>321</v>
      </c>
      <c r="B78" t="s">
        <v>25</v>
      </c>
      <c r="C78" t="s">
        <v>906</v>
      </c>
      <c r="D78" t="s">
        <v>333</v>
      </c>
      <c r="E78" t="s">
        <v>28</v>
      </c>
      <c r="F78" t="s">
        <v>40</v>
      </c>
      <c r="G78" t="s">
        <v>29</v>
      </c>
      <c r="H78" s="28">
        <v>35</v>
      </c>
      <c r="I78" t="s">
        <v>51</v>
      </c>
      <c r="J78" s="6">
        <v>712.3</v>
      </c>
      <c r="K78" s="6">
        <v>3.496</v>
      </c>
      <c r="L78" s="9" t="s">
        <v>475</v>
      </c>
      <c r="M78" t="s">
        <v>37</v>
      </c>
      <c r="N78" s="24">
        <v>45333</v>
      </c>
      <c r="O78" t="s">
        <v>73</v>
      </c>
      <c r="P78" s="25">
        <v>45379</v>
      </c>
      <c r="Q78" t="s">
        <v>43</v>
      </c>
      <c r="R78" t="s">
        <v>197</v>
      </c>
      <c r="S78" t="s">
        <v>28</v>
      </c>
      <c r="T78" t="s">
        <v>28</v>
      </c>
      <c r="U78" s="17" t="s">
        <v>28</v>
      </c>
      <c r="V78" t="s">
        <v>28</v>
      </c>
      <c r="W78" s="5" t="s">
        <v>319</v>
      </c>
      <c r="X78" s="5" t="s">
        <v>320</v>
      </c>
      <c r="Y78" t="s">
        <v>28</v>
      </c>
      <c r="Z78">
        <v>477.54</v>
      </c>
      <c r="AA78">
        <f>IF(MainImport[[#This Row],[E/I]]="Import", MONTH(MainImport[[#This Row],[ETA]]), MONTH(MainImport[[#This Row],[ETD]]))</f>
        <v>3</v>
      </c>
      <c r="AB78">
        <f>IF(MainImport[[#This Row],[E/I]]="Import", YEAR(MainImport[[#This Row],[ETA]]), YEAR(MainImport[[#This Row],[ETD]]))</f>
        <v>2024</v>
      </c>
    </row>
    <row r="79" spans="1:28" ht="18.600000000000001" customHeight="1" x14ac:dyDescent="0.3">
      <c r="A79" s="17" t="s">
        <v>433</v>
      </c>
      <c r="B79" t="s">
        <v>25</v>
      </c>
      <c r="C79" t="s">
        <v>906</v>
      </c>
      <c r="D79" t="s">
        <v>289</v>
      </c>
      <c r="E79" t="s">
        <v>28</v>
      </c>
      <c r="F79" t="s">
        <v>63</v>
      </c>
      <c r="G79" t="s">
        <v>29</v>
      </c>
      <c r="H79" s="28">
        <v>15</v>
      </c>
      <c r="I79" t="s">
        <v>51</v>
      </c>
      <c r="J79" s="6">
        <v>256.89999999999998</v>
      </c>
      <c r="K79" s="6">
        <v>1.548</v>
      </c>
      <c r="L79" s="9" t="s">
        <v>475</v>
      </c>
      <c r="M79" t="s">
        <v>37</v>
      </c>
      <c r="N79" s="24">
        <v>45333</v>
      </c>
      <c r="O79" t="s">
        <v>87</v>
      </c>
      <c r="P79" s="25">
        <v>45379</v>
      </c>
      <c r="Q79" t="s">
        <v>43</v>
      </c>
      <c r="R79" t="s">
        <v>197</v>
      </c>
      <c r="S79" t="s">
        <v>28</v>
      </c>
      <c r="T79" t="s">
        <v>28</v>
      </c>
      <c r="U79" s="17" t="s">
        <v>28</v>
      </c>
      <c r="V79" t="s">
        <v>28</v>
      </c>
      <c r="W79" s="5" t="s">
        <v>273</v>
      </c>
      <c r="X79" s="5" t="s">
        <v>272</v>
      </c>
      <c r="Y79" t="s">
        <v>28</v>
      </c>
      <c r="Z79">
        <v>217</v>
      </c>
      <c r="AA79">
        <f>IF(MainImport[[#This Row],[E/I]]="Import", MONTH(MainImport[[#This Row],[ETA]]), MONTH(MainImport[[#This Row],[ETD]]))</f>
        <v>3</v>
      </c>
      <c r="AB79">
        <f>IF(MainImport[[#This Row],[E/I]]="Import", YEAR(MainImport[[#This Row],[ETA]]), YEAR(MainImport[[#This Row],[ETD]]))</f>
        <v>2024</v>
      </c>
    </row>
    <row r="80" spans="1:28" ht="20.399999999999999" customHeight="1" x14ac:dyDescent="0.3">
      <c r="A80" t="s">
        <v>719</v>
      </c>
      <c r="B80" t="s">
        <v>25</v>
      </c>
      <c r="C80" t="s">
        <v>955</v>
      </c>
      <c r="D80" t="s">
        <v>728</v>
      </c>
      <c r="E80" t="s">
        <v>28</v>
      </c>
      <c r="F80" t="s">
        <v>28</v>
      </c>
      <c r="G80" t="s">
        <v>29</v>
      </c>
      <c r="H80" s="28">
        <v>1</v>
      </c>
      <c r="I80" t="s">
        <v>60</v>
      </c>
      <c r="J80" s="6">
        <v>48</v>
      </c>
      <c r="K80" s="6" t="s">
        <v>28</v>
      </c>
      <c r="L80" s="9" t="s">
        <v>28</v>
      </c>
      <c r="M80" t="s">
        <v>37</v>
      </c>
      <c r="N80" s="24" t="s">
        <v>28</v>
      </c>
      <c r="O80" t="s">
        <v>194</v>
      </c>
      <c r="P80" s="24">
        <v>45380</v>
      </c>
      <c r="Q80" t="s">
        <v>28</v>
      </c>
      <c r="R80" t="s">
        <v>144</v>
      </c>
      <c r="S80" t="s">
        <v>28</v>
      </c>
      <c r="T80" t="s">
        <v>28</v>
      </c>
      <c r="U80" s="17" t="s">
        <v>28</v>
      </c>
      <c r="V80" t="s">
        <v>28</v>
      </c>
      <c r="W80" s="8">
        <v>2350</v>
      </c>
      <c r="X80" s="8" t="s">
        <v>720</v>
      </c>
      <c r="Y80" t="s">
        <v>28</v>
      </c>
      <c r="Z80">
        <v>500</v>
      </c>
      <c r="AA80">
        <f>IF(MainImport[[#This Row],[E/I]]="Import", MONTH(MainImport[[#This Row],[ETA]]), MONTH(MainImport[[#This Row],[ETD]]))</f>
        <v>3</v>
      </c>
      <c r="AB80">
        <f>IF(MainImport[[#This Row],[E/I]]="Import", YEAR(MainImport[[#This Row],[ETA]]), YEAR(MainImport[[#This Row],[ETD]]))</f>
        <v>2024</v>
      </c>
    </row>
    <row r="81" spans="1:28" ht="21.6" customHeight="1" x14ac:dyDescent="0.3">
      <c r="A81" t="s">
        <v>751</v>
      </c>
      <c r="B81" t="s">
        <v>25</v>
      </c>
      <c r="C81" t="s">
        <v>907</v>
      </c>
      <c r="D81" t="s">
        <v>376</v>
      </c>
      <c r="E81" t="s">
        <v>498</v>
      </c>
      <c r="F81" t="s">
        <v>40</v>
      </c>
      <c r="G81" t="s">
        <v>26</v>
      </c>
      <c r="H81" s="28">
        <v>1</v>
      </c>
      <c r="I81" t="s">
        <v>41</v>
      </c>
      <c r="J81" s="6">
        <v>16272.7</v>
      </c>
      <c r="K81" s="6">
        <v>2</v>
      </c>
      <c r="L81" s="9" t="s">
        <v>476</v>
      </c>
      <c r="M81" t="s">
        <v>37</v>
      </c>
      <c r="N81" s="24">
        <v>45334</v>
      </c>
      <c r="O81" t="s">
        <v>53</v>
      </c>
      <c r="P81" s="24">
        <v>45380</v>
      </c>
      <c r="Q81" t="s">
        <v>43</v>
      </c>
      <c r="R81" s="14" t="s">
        <v>547</v>
      </c>
      <c r="S81" t="s">
        <v>592</v>
      </c>
      <c r="T81" t="s">
        <v>909</v>
      </c>
      <c r="U81" s="17" t="s">
        <v>28</v>
      </c>
      <c r="V81" t="s">
        <v>28</v>
      </c>
      <c r="W81" s="5" t="s">
        <v>551</v>
      </c>
      <c r="X81" s="5" t="s">
        <v>550</v>
      </c>
      <c r="Y81" t="s">
        <v>549</v>
      </c>
      <c r="Z81">
        <v>1464</v>
      </c>
      <c r="AA81">
        <f>IF(MainImport[[#This Row],[E/I]]="Import", MONTH(MainImport[[#This Row],[ETA]]), MONTH(MainImport[[#This Row],[ETD]]))</f>
        <v>3</v>
      </c>
      <c r="AB81">
        <f>IF(MainImport[[#This Row],[E/I]]="Import", YEAR(MainImport[[#This Row],[ETA]]), YEAR(MainImport[[#This Row],[ETD]]))</f>
        <v>2024</v>
      </c>
    </row>
    <row r="82" spans="1:28" ht="19.2" customHeight="1" x14ac:dyDescent="0.3">
      <c r="A82" t="s">
        <v>377</v>
      </c>
      <c r="B82" t="s">
        <v>25</v>
      </c>
      <c r="C82" t="s">
        <v>935</v>
      </c>
      <c r="D82" t="s">
        <v>372</v>
      </c>
      <c r="E82" t="s">
        <v>28</v>
      </c>
      <c r="F82" t="s">
        <v>40</v>
      </c>
      <c r="G82" t="s">
        <v>29</v>
      </c>
      <c r="H82" s="28">
        <v>7</v>
      </c>
      <c r="I82" t="s">
        <v>83</v>
      </c>
      <c r="J82" s="6">
        <v>5942.83</v>
      </c>
      <c r="K82" s="6">
        <v>5.62</v>
      </c>
      <c r="L82" s="9" t="s">
        <v>463</v>
      </c>
      <c r="M82" t="s">
        <v>37</v>
      </c>
      <c r="N82" s="24">
        <v>45324</v>
      </c>
      <c r="O82" t="s">
        <v>53</v>
      </c>
      <c r="P82" s="25">
        <v>45384</v>
      </c>
      <c r="Q82" t="s">
        <v>43</v>
      </c>
      <c r="R82" t="s">
        <v>144</v>
      </c>
      <c r="S82" t="s">
        <v>28</v>
      </c>
      <c r="T82" t="s">
        <v>28</v>
      </c>
      <c r="U82" s="17" t="s">
        <v>28</v>
      </c>
      <c r="V82" t="s">
        <v>28</v>
      </c>
      <c r="W82" s="5" t="s">
        <v>370</v>
      </c>
      <c r="X82" s="8" t="s">
        <v>371</v>
      </c>
      <c r="Y82" t="s">
        <v>28</v>
      </c>
      <c r="Z82">
        <v>731.19</v>
      </c>
      <c r="AA82">
        <f>IF(MainImport[[#This Row],[E/I]]="Import", MONTH(MainImport[[#This Row],[ETA]]), MONTH(MainImport[[#This Row],[ETD]]))</f>
        <v>4</v>
      </c>
      <c r="AB82">
        <f>IF(MainImport[[#This Row],[E/I]]="Import", YEAR(MainImport[[#This Row],[ETA]]), YEAR(MainImport[[#This Row],[ETD]]))</f>
        <v>2024</v>
      </c>
    </row>
    <row r="83" spans="1:28" ht="19.8" customHeight="1" x14ac:dyDescent="0.3">
      <c r="A83" t="s">
        <v>329</v>
      </c>
      <c r="B83" t="s">
        <v>25</v>
      </c>
      <c r="C83" t="s">
        <v>938</v>
      </c>
      <c r="D83" t="s">
        <v>286</v>
      </c>
      <c r="E83" t="s">
        <v>78</v>
      </c>
      <c r="F83" t="s">
        <v>28</v>
      </c>
      <c r="G83" t="s">
        <v>29</v>
      </c>
      <c r="H83" s="28">
        <v>6</v>
      </c>
      <c r="I83" t="s">
        <v>83</v>
      </c>
      <c r="J83" s="6">
        <v>6002</v>
      </c>
      <c r="K83" s="6">
        <v>13.587</v>
      </c>
      <c r="L83" s="15" t="s">
        <v>556</v>
      </c>
      <c r="M83" t="s">
        <v>37</v>
      </c>
      <c r="N83" s="24">
        <v>45300</v>
      </c>
      <c r="O83" t="s">
        <v>109</v>
      </c>
      <c r="P83" s="25">
        <v>45386</v>
      </c>
      <c r="Q83" t="s">
        <v>43</v>
      </c>
      <c r="R83" t="s">
        <v>44</v>
      </c>
      <c r="S83" s="11" t="s">
        <v>478</v>
      </c>
      <c r="T83" t="s">
        <v>28</v>
      </c>
      <c r="U83" s="17" t="s">
        <v>28</v>
      </c>
      <c r="V83" t="s">
        <v>28</v>
      </c>
      <c r="W83" s="5" t="s">
        <v>345</v>
      </c>
      <c r="X83" s="5" t="s">
        <v>330</v>
      </c>
      <c r="Y83" t="s">
        <v>28</v>
      </c>
      <c r="Z83">
        <v>6119</v>
      </c>
      <c r="AA83">
        <f>IF(MainImport[[#This Row],[E/I]]="Import", MONTH(MainImport[[#This Row],[ETA]]), MONTH(MainImport[[#This Row],[ETD]]))</f>
        <v>4</v>
      </c>
      <c r="AB83">
        <f>IF(MainImport[[#This Row],[E/I]]="Import", YEAR(MainImport[[#This Row],[ETA]]), YEAR(MainImport[[#This Row],[ETD]]))</f>
        <v>2024</v>
      </c>
    </row>
    <row r="84" spans="1:28" ht="17.399999999999999" customHeight="1" x14ac:dyDescent="0.3">
      <c r="A84" t="s">
        <v>279</v>
      </c>
      <c r="B84" t="s">
        <v>25</v>
      </c>
      <c r="C84" t="s">
        <v>928</v>
      </c>
      <c r="D84" t="s">
        <v>405</v>
      </c>
      <c r="E84" t="s">
        <v>107</v>
      </c>
      <c r="F84" t="s">
        <v>40</v>
      </c>
      <c r="G84" t="s">
        <v>26</v>
      </c>
      <c r="H84" s="28">
        <v>1</v>
      </c>
      <c r="I84" t="s">
        <v>90</v>
      </c>
      <c r="J84" s="6">
        <v>6459</v>
      </c>
      <c r="K84" s="6">
        <v>1</v>
      </c>
      <c r="L84" s="9" t="s">
        <v>409</v>
      </c>
      <c r="M84" t="s">
        <v>37</v>
      </c>
      <c r="N84" s="24">
        <v>45322</v>
      </c>
      <c r="O84" t="s">
        <v>99</v>
      </c>
      <c r="P84" s="24">
        <v>45389</v>
      </c>
      <c r="Q84" t="s">
        <v>43</v>
      </c>
      <c r="R84" s="20" t="s">
        <v>144</v>
      </c>
      <c r="S84" t="s">
        <v>28</v>
      </c>
      <c r="T84" t="s">
        <v>28</v>
      </c>
      <c r="U84" s="17" t="s">
        <v>28</v>
      </c>
      <c r="V84" t="s">
        <v>28</v>
      </c>
      <c r="W84" s="8" t="s">
        <v>278</v>
      </c>
      <c r="X84" s="8" t="s">
        <v>280</v>
      </c>
      <c r="Y84" t="s">
        <v>28</v>
      </c>
      <c r="Z84">
        <v>693</v>
      </c>
      <c r="AA84">
        <f>IF(MainImport[[#This Row],[E/I]]="Import", MONTH(MainImport[[#This Row],[ETA]]), MONTH(MainImport[[#This Row],[ETD]]))</f>
        <v>4</v>
      </c>
      <c r="AB84">
        <f>IF(MainImport[[#This Row],[E/I]]="Import", YEAR(MainImport[[#This Row],[ETA]]), YEAR(MainImport[[#This Row],[ETD]]))</f>
        <v>2024</v>
      </c>
    </row>
    <row r="85" spans="1:28" ht="19.8" customHeight="1" x14ac:dyDescent="0.3">
      <c r="A85" t="s">
        <v>216</v>
      </c>
      <c r="B85" t="s">
        <v>25</v>
      </c>
      <c r="C85" t="s">
        <v>936</v>
      </c>
      <c r="D85" t="s">
        <v>218</v>
      </c>
      <c r="E85" t="s">
        <v>28</v>
      </c>
      <c r="F85" t="s">
        <v>40</v>
      </c>
      <c r="G85" t="s">
        <v>29</v>
      </c>
      <c r="H85" s="28">
        <v>7</v>
      </c>
      <c r="I85" t="s">
        <v>83</v>
      </c>
      <c r="J85" s="6">
        <v>5289</v>
      </c>
      <c r="K85" s="6">
        <v>7.6790000000000003</v>
      </c>
      <c r="L85" s="9" t="s">
        <v>444</v>
      </c>
      <c r="M85" t="s">
        <v>37</v>
      </c>
      <c r="N85" s="24">
        <v>45339</v>
      </c>
      <c r="O85" t="s">
        <v>87</v>
      </c>
      <c r="P85" s="25">
        <v>45390</v>
      </c>
      <c r="Q85" t="s">
        <v>43</v>
      </c>
      <c r="R85" s="20" t="s">
        <v>215</v>
      </c>
      <c r="S85" t="s">
        <v>28</v>
      </c>
      <c r="T85" t="s">
        <v>28</v>
      </c>
      <c r="U85" s="17" t="s">
        <v>28</v>
      </c>
      <c r="V85" t="s">
        <v>28</v>
      </c>
      <c r="W85" s="5" t="s">
        <v>230</v>
      </c>
      <c r="X85" s="8" t="s">
        <v>28</v>
      </c>
      <c r="Y85" t="s">
        <v>28</v>
      </c>
      <c r="Z85">
        <v>1430</v>
      </c>
      <c r="AA85">
        <f>IF(MainImport[[#This Row],[E/I]]="Import", MONTH(MainImport[[#This Row],[ETA]]), MONTH(MainImport[[#This Row],[ETD]]))</f>
        <v>4</v>
      </c>
      <c r="AB85">
        <f>IF(MainImport[[#This Row],[E/I]]="Import", YEAR(MainImport[[#This Row],[ETA]]), YEAR(MainImport[[#This Row],[ETD]]))</f>
        <v>2024</v>
      </c>
    </row>
    <row r="86" spans="1:28" ht="16.8" customHeight="1" x14ac:dyDescent="0.3">
      <c r="A86" t="s">
        <v>337</v>
      </c>
      <c r="B86" t="s">
        <v>25</v>
      </c>
      <c r="C86" t="s">
        <v>912</v>
      </c>
      <c r="D86" t="s">
        <v>446</v>
      </c>
      <c r="E86" t="s">
        <v>28</v>
      </c>
      <c r="F86" t="s">
        <v>63</v>
      </c>
      <c r="G86" t="s">
        <v>29</v>
      </c>
      <c r="H86" s="28">
        <v>1</v>
      </c>
      <c r="I86" t="s">
        <v>80</v>
      </c>
      <c r="J86" s="6">
        <v>860</v>
      </c>
      <c r="K86" s="6">
        <v>3.4049999999999998</v>
      </c>
      <c r="L86" s="9" t="s">
        <v>444</v>
      </c>
      <c r="M86" t="s">
        <v>37</v>
      </c>
      <c r="N86" s="24">
        <v>45339</v>
      </c>
      <c r="O86" t="s">
        <v>73</v>
      </c>
      <c r="P86" s="25">
        <v>45390</v>
      </c>
      <c r="Q86" t="s">
        <v>43</v>
      </c>
      <c r="R86" s="20" t="s">
        <v>44</v>
      </c>
      <c r="S86" t="s">
        <v>28</v>
      </c>
      <c r="T86" t="s">
        <v>28</v>
      </c>
      <c r="U86" s="17" t="s">
        <v>28</v>
      </c>
      <c r="V86" t="s">
        <v>28</v>
      </c>
      <c r="W86" s="5" t="s">
        <v>338</v>
      </c>
      <c r="X86" s="5" t="s">
        <v>336</v>
      </c>
      <c r="Y86" t="s">
        <v>28</v>
      </c>
      <c r="Z86">
        <v>1149</v>
      </c>
      <c r="AA86">
        <f>IF(MainImport[[#This Row],[E/I]]="Import", MONTH(MainImport[[#This Row],[ETA]]), MONTH(MainImport[[#This Row],[ETD]]))</f>
        <v>4</v>
      </c>
      <c r="AB86">
        <f>IF(MainImport[[#This Row],[E/I]]="Import", YEAR(MainImport[[#This Row],[ETA]]), YEAR(MainImport[[#This Row],[ETD]]))</f>
        <v>2024</v>
      </c>
    </row>
    <row r="87" spans="1:28" ht="17.399999999999999" customHeight="1" x14ac:dyDescent="0.3">
      <c r="A87" t="s">
        <v>738</v>
      </c>
      <c r="B87" t="s">
        <v>32</v>
      </c>
      <c r="C87" t="s">
        <v>953</v>
      </c>
      <c r="D87" s="11" t="s">
        <v>639</v>
      </c>
      <c r="E87" t="s">
        <v>28</v>
      </c>
      <c r="F87" t="s">
        <v>40</v>
      </c>
      <c r="G87" t="s">
        <v>26</v>
      </c>
      <c r="H87" s="28">
        <v>1</v>
      </c>
      <c r="I87" t="s">
        <v>41</v>
      </c>
      <c r="J87" s="6">
        <v>24340</v>
      </c>
      <c r="K87" s="6">
        <v>2</v>
      </c>
      <c r="L87" s="9" t="s">
        <v>739</v>
      </c>
      <c r="M87" t="s">
        <v>37</v>
      </c>
      <c r="N87" s="24">
        <v>45376</v>
      </c>
      <c r="O87" t="s">
        <v>486</v>
      </c>
      <c r="P87" s="24">
        <v>45422</v>
      </c>
      <c r="Q87" t="s">
        <v>62</v>
      </c>
      <c r="R87" t="s">
        <v>144</v>
      </c>
      <c r="S87" t="s">
        <v>28</v>
      </c>
      <c r="T87" t="s">
        <v>28</v>
      </c>
      <c r="U87" s="17" t="s">
        <v>28</v>
      </c>
      <c r="V87" t="s">
        <v>28</v>
      </c>
      <c r="W87" s="5" t="s">
        <v>638</v>
      </c>
      <c r="X87" s="8" t="s">
        <v>28</v>
      </c>
      <c r="Y87" t="s">
        <v>28</v>
      </c>
      <c r="Z87">
        <v>1200</v>
      </c>
      <c r="AA87">
        <f>IF(MainImport[[#This Row],[E/I]]="Import", MONTH(MainImport[[#This Row],[ETA]]), MONTH(MainImport[[#This Row],[ETD]]))</f>
        <v>3</v>
      </c>
      <c r="AB87">
        <f>IF(MainImport[[#This Row],[E/I]]="Import", YEAR(MainImport[[#This Row],[ETA]]), YEAR(MainImport[[#This Row],[ETD]]))</f>
        <v>2024</v>
      </c>
    </row>
    <row r="88" spans="1:28" ht="18" customHeight="1" x14ac:dyDescent="0.3">
      <c r="A88" t="s">
        <v>696</v>
      </c>
      <c r="B88" t="s">
        <v>25</v>
      </c>
      <c r="C88" t="s">
        <v>918</v>
      </c>
      <c r="D88" t="s">
        <v>381</v>
      </c>
      <c r="E88" t="s">
        <v>498</v>
      </c>
      <c r="F88" t="s">
        <v>40</v>
      </c>
      <c r="G88" t="s">
        <v>26</v>
      </c>
      <c r="H88" s="28">
        <v>1</v>
      </c>
      <c r="I88" t="s">
        <v>41</v>
      </c>
      <c r="J88" s="6">
        <v>9770</v>
      </c>
      <c r="K88" s="6">
        <v>2</v>
      </c>
      <c r="L88" s="9" t="s">
        <v>445</v>
      </c>
      <c r="M88" t="s">
        <v>37</v>
      </c>
      <c r="N88" s="24">
        <v>45339</v>
      </c>
      <c r="O88" t="s">
        <v>42</v>
      </c>
      <c r="P88" s="24">
        <v>45380</v>
      </c>
      <c r="Q88" t="s">
        <v>43</v>
      </c>
      <c r="R88" t="s">
        <v>541</v>
      </c>
      <c r="S88" t="s">
        <v>593</v>
      </c>
      <c r="T88" t="s">
        <v>28</v>
      </c>
      <c r="U88" s="17" t="s">
        <v>28</v>
      </c>
      <c r="V88" t="s">
        <v>28</v>
      </c>
      <c r="W88" s="5" t="s">
        <v>352</v>
      </c>
      <c r="X88" s="8" t="s">
        <v>368</v>
      </c>
      <c r="Y88" t="s">
        <v>28</v>
      </c>
      <c r="Z88">
        <v>1240</v>
      </c>
      <c r="AA88">
        <f>IF(MainImport[[#This Row],[E/I]]="Import", MONTH(MainImport[[#This Row],[ETA]]), MONTH(MainImport[[#This Row],[ETD]]))</f>
        <v>3</v>
      </c>
      <c r="AB88">
        <f>IF(MainImport[[#This Row],[E/I]]="Import", YEAR(MainImport[[#This Row],[ETA]]), YEAR(MainImport[[#This Row],[ETD]]))</f>
        <v>2024</v>
      </c>
    </row>
    <row r="89" spans="1:28" ht="18" customHeight="1" x14ac:dyDescent="0.3">
      <c r="A89" t="s">
        <v>745</v>
      </c>
      <c r="B89" t="s">
        <v>25</v>
      </c>
      <c r="C89" t="s">
        <v>918</v>
      </c>
      <c r="D89" t="s">
        <v>363</v>
      </c>
      <c r="E89" t="s">
        <v>498</v>
      </c>
      <c r="F89" t="s">
        <v>40</v>
      </c>
      <c r="G89" t="s">
        <v>26</v>
      </c>
      <c r="H89" s="28">
        <v>1</v>
      </c>
      <c r="I89" t="s">
        <v>41</v>
      </c>
      <c r="J89" s="6">
        <v>8090</v>
      </c>
      <c r="K89" s="6">
        <v>2</v>
      </c>
      <c r="L89" s="9" t="s">
        <v>443</v>
      </c>
      <c r="M89" t="s">
        <v>38</v>
      </c>
      <c r="N89" s="24">
        <v>45339</v>
      </c>
      <c r="O89" t="s">
        <v>42</v>
      </c>
      <c r="P89" s="24">
        <v>45380</v>
      </c>
      <c r="Q89" t="s">
        <v>43</v>
      </c>
      <c r="R89" t="s">
        <v>542</v>
      </c>
      <c r="S89" t="s">
        <v>593</v>
      </c>
      <c r="T89" t="s">
        <v>28</v>
      </c>
      <c r="U89" s="17" t="s">
        <v>28</v>
      </c>
      <c r="V89" t="s">
        <v>28</v>
      </c>
      <c r="W89" s="8" t="s">
        <v>312</v>
      </c>
      <c r="X89" s="8" t="s">
        <v>311</v>
      </c>
      <c r="Y89" t="s">
        <v>28</v>
      </c>
      <c r="Z89">
        <v>961</v>
      </c>
      <c r="AA89">
        <f>IF(MainImport[[#This Row],[E/I]]="Import", MONTH(MainImport[[#This Row],[ETA]]), MONTH(MainImport[[#This Row],[ETD]]))</f>
        <v>3</v>
      </c>
      <c r="AB89">
        <f>IF(MainImport[[#This Row],[E/I]]="Import", YEAR(MainImport[[#This Row],[ETA]]), YEAR(MainImport[[#This Row],[ETD]]))</f>
        <v>2024</v>
      </c>
    </row>
    <row r="90" spans="1:28" ht="19.8" customHeight="1" x14ac:dyDescent="0.3">
      <c r="A90" t="s">
        <v>695</v>
      </c>
      <c r="B90" t="s">
        <v>25</v>
      </c>
      <c r="C90" t="s">
        <v>915</v>
      </c>
      <c r="D90" t="s">
        <v>700</v>
      </c>
      <c r="E90" t="s">
        <v>28</v>
      </c>
      <c r="F90" t="s">
        <v>63</v>
      </c>
      <c r="G90" t="s">
        <v>29</v>
      </c>
      <c r="H90" s="28">
        <v>28</v>
      </c>
      <c r="I90" t="s">
        <v>51</v>
      </c>
      <c r="J90" s="6">
        <v>518</v>
      </c>
      <c r="K90" s="6">
        <v>3.11</v>
      </c>
      <c r="L90" s="9" t="s">
        <v>28</v>
      </c>
      <c r="M90" t="s">
        <v>38</v>
      </c>
      <c r="N90" s="24">
        <v>45380</v>
      </c>
      <c r="O90" t="s">
        <v>693</v>
      </c>
      <c r="P90" s="24">
        <v>45391</v>
      </c>
      <c r="Q90" t="s">
        <v>194</v>
      </c>
      <c r="R90" s="20" t="s">
        <v>44</v>
      </c>
      <c r="S90" t="s">
        <v>28</v>
      </c>
      <c r="T90" t="s">
        <v>28</v>
      </c>
      <c r="U90" s="17" t="s">
        <v>28</v>
      </c>
      <c r="V90" t="s">
        <v>28</v>
      </c>
      <c r="W90" s="5" t="s">
        <v>694</v>
      </c>
      <c r="X90" s="8" t="s">
        <v>28</v>
      </c>
      <c r="Y90" t="s">
        <v>28</v>
      </c>
      <c r="Z90">
        <v>927.08</v>
      </c>
      <c r="AA90">
        <f>IF(MainImport[[#This Row],[E/I]]="Import", MONTH(MainImport[[#This Row],[ETA]]), MONTH(MainImport[[#This Row],[ETD]]))</f>
        <v>4</v>
      </c>
      <c r="AB90">
        <f>IF(MainImport[[#This Row],[E/I]]="Import", YEAR(MainImport[[#This Row],[ETA]]), YEAR(MainImport[[#This Row],[ETD]]))</f>
        <v>2024</v>
      </c>
    </row>
    <row r="91" spans="1:28" ht="21.6" customHeight="1" x14ac:dyDescent="0.3">
      <c r="A91" t="s">
        <v>367</v>
      </c>
      <c r="B91" t="s">
        <v>25</v>
      </c>
      <c r="C91" t="s">
        <v>935</v>
      </c>
      <c r="D91" t="s">
        <v>462</v>
      </c>
      <c r="E91" t="s">
        <v>101</v>
      </c>
      <c r="F91" t="s">
        <v>40</v>
      </c>
      <c r="G91" t="s">
        <v>26</v>
      </c>
      <c r="H91" s="28">
        <v>3</v>
      </c>
      <c r="I91" t="s">
        <v>90</v>
      </c>
      <c r="J91" s="6">
        <v>44100</v>
      </c>
      <c r="K91" s="6">
        <v>3</v>
      </c>
      <c r="L91" s="5" t="s">
        <v>850</v>
      </c>
      <c r="M91" t="s">
        <v>38</v>
      </c>
      <c r="N91" s="24">
        <v>45326</v>
      </c>
      <c r="O91" t="s">
        <v>89</v>
      </c>
      <c r="P91" s="24">
        <v>45391</v>
      </c>
      <c r="Q91" t="s">
        <v>43</v>
      </c>
      <c r="R91" s="20" t="s">
        <v>811</v>
      </c>
      <c r="S91" t="s">
        <v>28</v>
      </c>
      <c r="T91" t="s">
        <v>28</v>
      </c>
      <c r="U91" t="s">
        <v>28</v>
      </c>
      <c r="V91" t="s">
        <v>28</v>
      </c>
      <c r="W91" s="5" t="s">
        <v>796</v>
      </c>
      <c r="X91" s="8" t="s">
        <v>366</v>
      </c>
      <c r="Y91" t="s">
        <v>28</v>
      </c>
      <c r="Z91">
        <v>2765.14</v>
      </c>
      <c r="AA91">
        <f>IF(MainImport[[#This Row],[E/I]]="Import", MONTH(MainImport[[#This Row],[ETA]]), MONTH(MainImport[[#This Row],[ETD]]))</f>
        <v>4</v>
      </c>
      <c r="AB91">
        <f>IF(MainImport[[#This Row],[E/I]]="Import", YEAR(MainImport[[#This Row],[ETA]]), YEAR(MainImport[[#This Row],[ETD]]))</f>
        <v>2024</v>
      </c>
    </row>
    <row r="92" spans="1:28" ht="18" customHeight="1" x14ac:dyDescent="0.3">
      <c r="A92" t="s">
        <v>783</v>
      </c>
      <c r="B92" t="s">
        <v>25</v>
      </c>
      <c r="C92" t="s">
        <v>914</v>
      </c>
      <c r="D92" t="s">
        <v>782</v>
      </c>
      <c r="E92" t="s">
        <v>28</v>
      </c>
      <c r="F92" t="s">
        <v>63</v>
      </c>
      <c r="G92" t="s">
        <v>29</v>
      </c>
      <c r="H92" s="28">
        <v>11</v>
      </c>
      <c r="I92" t="s">
        <v>60</v>
      </c>
      <c r="J92" s="6">
        <v>423</v>
      </c>
      <c r="K92" s="6">
        <v>1.3</v>
      </c>
      <c r="L92" s="9" t="s">
        <v>28</v>
      </c>
      <c r="M92" t="s">
        <v>38</v>
      </c>
      <c r="N92" s="24">
        <v>45390</v>
      </c>
      <c r="O92" t="s">
        <v>28</v>
      </c>
      <c r="P92" s="24">
        <v>45393</v>
      </c>
      <c r="Q92" t="s">
        <v>194</v>
      </c>
      <c r="R92" s="20" t="s">
        <v>382</v>
      </c>
      <c r="S92" t="s">
        <v>793</v>
      </c>
      <c r="T92" t="s">
        <v>916</v>
      </c>
      <c r="U92" t="s">
        <v>28</v>
      </c>
      <c r="V92" t="s">
        <v>28</v>
      </c>
      <c r="W92" s="5" t="s">
        <v>794</v>
      </c>
      <c r="X92" s="8" t="s">
        <v>28</v>
      </c>
      <c r="Y92" t="s">
        <v>28</v>
      </c>
      <c r="Z92">
        <v>2723.52</v>
      </c>
      <c r="AA92">
        <f>IF(MainImport[[#This Row],[E/I]]="Import", MONTH(MainImport[[#This Row],[ETA]]), MONTH(MainImport[[#This Row],[ETD]]))</f>
        <v>4</v>
      </c>
      <c r="AB92">
        <f>IF(MainImport[[#This Row],[E/I]]="Import", YEAR(MainImport[[#This Row],[ETA]]), YEAR(MainImport[[#This Row],[ETD]]))</f>
        <v>2024</v>
      </c>
    </row>
    <row r="93" spans="1:28" ht="18" customHeight="1" x14ac:dyDescent="0.3">
      <c r="A93" t="s">
        <v>397</v>
      </c>
      <c r="B93" t="s">
        <v>25</v>
      </c>
      <c r="C93" t="s">
        <v>939</v>
      </c>
      <c r="D93" s="20" t="s">
        <v>941</v>
      </c>
      <c r="E93" t="s">
        <v>28</v>
      </c>
      <c r="F93" t="s">
        <v>63</v>
      </c>
      <c r="G93" t="s">
        <v>26</v>
      </c>
      <c r="H93" s="28">
        <v>1</v>
      </c>
      <c r="I93" t="s">
        <v>41</v>
      </c>
      <c r="J93" s="6" t="s">
        <v>28</v>
      </c>
      <c r="K93" s="6">
        <v>2</v>
      </c>
      <c r="L93" s="9" t="s">
        <v>737</v>
      </c>
      <c r="M93" t="s">
        <v>38</v>
      </c>
      <c r="N93" s="24">
        <v>45376</v>
      </c>
      <c r="O93" t="s">
        <v>631</v>
      </c>
      <c r="P93" s="24">
        <v>45395</v>
      </c>
      <c r="Q93" t="s">
        <v>194</v>
      </c>
      <c r="R93" s="20" t="s">
        <v>876</v>
      </c>
      <c r="S93" t="s">
        <v>28</v>
      </c>
      <c r="T93" t="s">
        <v>28</v>
      </c>
      <c r="U93" t="s">
        <v>28</v>
      </c>
      <c r="V93" t="s">
        <v>28</v>
      </c>
      <c r="W93" s="8" t="s">
        <v>451</v>
      </c>
      <c r="X93" s="5" t="s">
        <v>452</v>
      </c>
      <c r="Y93" t="s">
        <v>28</v>
      </c>
      <c r="Z93">
        <v>1583.72</v>
      </c>
      <c r="AA93">
        <f>IF(MainImport[[#This Row],[E/I]]="Import", MONTH(MainImport[[#This Row],[ETA]]), MONTH(MainImport[[#This Row],[ETD]]))</f>
        <v>4</v>
      </c>
      <c r="AB93">
        <f>IF(MainImport[[#This Row],[E/I]]="Import", YEAR(MainImport[[#This Row],[ETA]]), YEAR(MainImport[[#This Row],[ETD]]))</f>
        <v>2024</v>
      </c>
    </row>
    <row r="94" spans="1:28" ht="18" customHeight="1" x14ac:dyDescent="0.3">
      <c r="A94" t="s">
        <v>702</v>
      </c>
      <c r="B94" t="s">
        <v>25</v>
      </c>
      <c r="C94" t="s">
        <v>939</v>
      </c>
      <c r="D94" t="s">
        <v>709</v>
      </c>
      <c r="E94" t="s">
        <v>28</v>
      </c>
      <c r="F94" t="s">
        <v>63</v>
      </c>
      <c r="G94" t="s">
        <v>29</v>
      </c>
      <c r="H94" s="28">
        <v>125</v>
      </c>
      <c r="I94" t="s">
        <v>51</v>
      </c>
      <c r="J94" s="6">
        <v>2172</v>
      </c>
      <c r="K94" s="6">
        <v>6.359</v>
      </c>
      <c r="L94" s="9" t="s">
        <v>778</v>
      </c>
      <c r="M94" t="s">
        <v>27</v>
      </c>
      <c r="N94" s="24">
        <v>45380</v>
      </c>
      <c r="O94" t="s">
        <v>631</v>
      </c>
      <c r="P94" s="24">
        <v>45400</v>
      </c>
      <c r="Q94" t="s">
        <v>194</v>
      </c>
      <c r="R94" t="s">
        <v>541</v>
      </c>
      <c r="S94" t="s">
        <v>704</v>
      </c>
      <c r="T94" t="s">
        <v>942</v>
      </c>
      <c r="U94" t="s">
        <v>703</v>
      </c>
      <c r="V94" t="s">
        <v>28</v>
      </c>
      <c r="W94" s="5" t="s">
        <v>705</v>
      </c>
      <c r="X94" s="5" t="s">
        <v>706</v>
      </c>
      <c r="Y94" t="s">
        <v>28</v>
      </c>
      <c r="Z94">
        <v>1039.72</v>
      </c>
      <c r="AA94">
        <f>IF(MainImport[[#This Row],[E/I]]="Import", MONTH(MainImport[[#This Row],[ETA]]), MONTH(MainImport[[#This Row],[ETD]]))</f>
        <v>4</v>
      </c>
      <c r="AB94">
        <f>IF(MainImport[[#This Row],[E/I]]="Import", YEAR(MainImport[[#This Row],[ETA]]), YEAR(MainImport[[#This Row],[ETD]]))</f>
        <v>2024</v>
      </c>
    </row>
    <row r="95" spans="1:28" ht="16.8" customHeight="1" x14ac:dyDescent="0.3">
      <c r="A95" t="s">
        <v>682</v>
      </c>
      <c r="B95" t="s">
        <v>25</v>
      </c>
      <c r="C95" t="s">
        <v>907</v>
      </c>
      <c r="D95" t="s">
        <v>660</v>
      </c>
      <c r="E95" t="s">
        <v>28</v>
      </c>
      <c r="F95" t="s">
        <v>28</v>
      </c>
      <c r="G95" t="s">
        <v>29</v>
      </c>
      <c r="H95" s="28">
        <v>1</v>
      </c>
      <c r="I95" t="s">
        <v>41</v>
      </c>
      <c r="J95" s="6">
        <v>2150</v>
      </c>
      <c r="K95" s="6">
        <v>2.21</v>
      </c>
      <c r="L95" s="9" t="s">
        <v>28</v>
      </c>
      <c r="M95" t="s">
        <v>27</v>
      </c>
      <c r="N95" s="24">
        <v>45381</v>
      </c>
      <c r="O95" t="s">
        <v>753</v>
      </c>
      <c r="P95" s="24">
        <v>45398</v>
      </c>
      <c r="Q95" t="s">
        <v>754</v>
      </c>
      <c r="R95" s="20" t="s">
        <v>547</v>
      </c>
      <c r="S95" t="s">
        <v>28</v>
      </c>
      <c r="T95" t="s">
        <v>28</v>
      </c>
      <c r="U95" t="s">
        <v>28</v>
      </c>
      <c r="V95" t="s">
        <v>28</v>
      </c>
      <c r="W95" s="8" t="s">
        <v>755</v>
      </c>
      <c r="X95" s="8" t="s">
        <v>756</v>
      </c>
      <c r="Y95" t="s">
        <v>28</v>
      </c>
      <c r="Z95">
        <v>1243.54</v>
      </c>
      <c r="AA95">
        <f>IF(MainImport[[#This Row],[E/I]]="Import", MONTH(MainImport[[#This Row],[ETA]]), MONTH(MainImport[[#This Row],[ETD]]))</f>
        <v>4</v>
      </c>
      <c r="AB95">
        <f>IF(MainImport[[#This Row],[E/I]]="Import", YEAR(MainImport[[#This Row],[ETA]]), YEAR(MainImport[[#This Row],[ETD]]))</f>
        <v>2024</v>
      </c>
    </row>
    <row r="96" spans="1:28" ht="18.600000000000001" customHeight="1" x14ac:dyDescent="0.3">
      <c r="A96" t="s">
        <v>402</v>
      </c>
      <c r="B96" t="s">
        <v>25</v>
      </c>
      <c r="C96" t="s">
        <v>937</v>
      </c>
      <c r="D96" t="s">
        <v>423</v>
      </c>
      <c r="E96" t="s">
        <v>50</v>
      </c>
      <c r="F96" t="s">
        <v>40</v>
      </c>
      <c r="G96" t="s">
        <v>29</v>
      </c>
      <c r="H96" s="28">
        <v>2</v>
      </c>
      <c r="I96" t="s">
        <v>83</v>
      </c>
      <c r="J96" s="6">
        <v>1910</v>
      </c>
      <c r="K96" s="6">
        <v>2.75</v>
      </c>
      <c r="L96" s="9" t="s">
        <v>457</v>
      </c>
      <c r="M96" t="s">
        <v>27</v>
      </c>
      <c r="N96" s="24">
        <v>45338</v>
      </c>
      <c r="O96" t="s">
        <v>89</v>
      </c>
      <c r="P96" s="24">
        <v>45399</v>
      </c>
      <c r="Q96" t="s">
        <v>43</v>
      </c>
      <c r="R96" s="20" t="s">
        <v>44</v>
      </c>
      <c r="S96" t="s">
        <v>716</v>
      </c>
      <c r="T96" t="s">
        <v>28</v>
      </c>
      <c r="U96" t="s">
        <v>28</v>
      </c>
      <c r="V96" t="s">
        <v>28</v>
      </c>
      <c r="W96" s="5" t="s">
        <v>401</v>
      </c>
      <c r="X96" s="5" t="s">
        <v>271</v>
      </c>
      <c r="Y96" t="s">
        <v>28</v>
      </c>
      <c r="Z96">
        <v>259.27999999999997</v>
      </c>
      <c r="AA96">
        <f>IF(MainImport[[#This Row],[E/I]]="Import", MONTH(MainImport[[#This Row],[ETA]]), MONTH(MainImport[[#This Row],[ETD]]))</f>
        <v>4</v>
      </c>
      <c r="AB96">
        <f>IF(MainImport[[#This Row],[E/I]]="Import", YEAR(MainImport[[#This Row],[ETA]]), YEAR(MainImport[[#This Row],[ETD]]))</f>
        <v>2024</v>
      </c>
    </row>
    <row r="97" spans="1:28" ht="16.8" customHeight="1" x14ac:dyDescent="0.3">
      <c r="A97" t="s">
        <v>453</v>
      </c>
      <c r="B97" t="s">
        <v>25</v>
      </c>
      <c r="C97" t="s">
        <v>915</v>
      </c>
      <c r="D97" t="s">
        <v>748</v>
      </c>
      <c r="E97" t="s">
        <v>78</v>
      </c>
      <c r="F97" t="s">
        <v>63</v>
      </c>
      <c r="G97" t="s">
        <v>29</v>
      </c>
      <c r="H97" s="28">
        <v>81</v>
      </c>
      <c r="I97" t="s">
        <v>51</v>
      </c>
      <c r="J97" s="6">
        <v>949.5</v>
      </c>
      <c r="K97" s="6">
        <v>4.8</v>
      </c>
      <c r="L97" s="9" t="s">
        <v>797</v>
      </c>
      <c r="M97" t="s">
        <v>27</v>
      </c>
      <c r="N97" s="24">
        <v>45360</v>
      </c>
      <c r="O97" t="s">
        <v>454</v>
      </c>
      <c r="P97" s="24">
        <v>45401</v>
      </c>
      <c r="Q97" t="s">
        <v>43</v>
      </c>
      <c r="R97" t="s">
        <v>44</v>
      </c>
      <c r="S97" t="s">
        <v>28</v>
      </c>
      <c r="T97" t="s">
        <v>28</v>
      </c>
      <c r="U97" t="s">
        <v>28</v>
      </c>
      <c r="V97" t="s">
        <v>28</v>
      </c>
      <c r="W97" s="5" t="s">
        <v>455</v>
      </c>
      <c r="X97" s="8" t="s">
        <v>28</v>
      </c>
      <c r="Y97" t="s">
        <v>28</v>
      </c>
      <c r="Z97">
        <v>1943</v>
      </c>
      <c r="AA97">
        <f>IF(MainImport[[#This Row],[E/I]]="Import", MONTH(MainImport[[#This Row],[ETA]]), MONTH(MainImport[[#This Row],[ETD]]))</f>
        <v>4</v>
      </c>
      <c r="AB97">
        <f>IF(MainImport[[#This Row],[E/I]]="Import", YEAR(MainImport[[#This Row],[ETA]]), YEAR(MainImport[[#This Row],[ETD]]))</f>
        <v>2024</v>
      </c>
    </row>
    <row r="98" spans="1:28" ht="20.399999999999999" customHeight="1" x14ac:dyDescent="0.3">
      <c r="A98" t="s">
        <v>351</v>
      </c>
      <c r="B98" t="s">
        <v>25</v>
      </c>
      <c r="C98" t="s">
        <v>947</v>
      </c>
      <c r="D98" t="s">
        <v>348</v>
      </c>
      <c r="E98" t="s">
        <v>28</v>
      </c>
      <c r="F98" t="s">
        <v>40</v>
      </c>
      <c r="G98" t="s">
        <v>29</v>
      </c>
      <c r="H98" s="28">
        <v>6</v>
      </c>
      <c r="I98" t="s">
        <v>83</v>
      </c>
      <c r="J98" s="6">
        <v>4129</v>
      </c>
      <c r="K98" s="6">
        <v>4.5999999999999996</v>
      </c>
      <c r="L98" s="9" t="s">
        <v>425</v>
      </c>
      <c r="M98" t="s">
        <v>27</v>
      </c>
      <c r="N98" s="24">
        <v>45335</v>
      </c>
      <c r="O98" t="s">
        <v>62</v>
      </c>
      <c r="P98" s="24">
        <v>45402</v>
      </c>
      <c r="Q98" t="s">
        <v>43</v>
      </c>
      <c r="R98" s="20" t="s">
        <v>197</v>
      </c>
      <c r="S98" t="s">
        <v>28</v>
      </c>
      <c r="T98" t="s">
        <v>28</v>
      </c>
      <c r="U98" t="s">
        <v>28</v>
      </c>
      <c r="V98" t="s">
        <v>28</v>
      </c>
      <c r="W98" s="5" t="s">
        <v>350</v>
      </c>
      <c r="X98" s="5" t="s">
        <v>349</v>
      </c>
      <c r="Y98" t="s">
        <v>28</v>
      </c>
      <c r="Z98">
        <v>476.53</v>
      </c>
      <c r="AA98">
        <f>IF(MainImport[[#This Row],[E/I]]="Import", MONTH(MainImport[[#This Row],[ETA]]), MONTH(MainImport[[#This Row],[ETD]]))</f>
        <v>4</v>
      </c>
      <c r="AB98">
        <f>IF(MainImport[[#This Row],[E/I]]="Import", YEAR(MainImport[[#This Row],[ETA]]), YEAR(MainImport[[#This Row],[ETD]]))</f>
        <v>2024</v>
      </c>
    </row>
    <row r="99" spans="1:28" ht="16.8" customHeight="1" x14ac:dyDescent="0.3">
      <c r="A99" t="s">
        <v>379</v>
      </c>
      <c r="B99" t="s">
        <v>25</v>
      </c>
      <c r="C99" t="s">
        <v>935</v>
      </c>
      <c r="D99" t="s">
        <v>373</v>
      </c>
      <c r="E99" t="s">
        <v>28</v>
      </c>
      <c r="F99" t="s">
        <v>40</v>
      </c>
      <c r="G99" t="s">
        <v>29</v>
      </c>
      <c r="H99" s="28">
        <v>7</v>
      </c>
      <c r="I99" t="s">
        <v>83</v>
      </c>
      <c r="J99" s="6">
        <v>4050.9</v>
      </c>
      <c r="K99" s="6">
        <v>8.07</v>
      </c>
      <c r="L99" s="9" t="s">
        <v>425</v>
      </c>
      <c r="M99" t="s">
        <v>27</v>
      </c>
      <c r="N99" s="24">
        <v>45330</v>
      </c>
      <c r="O99" t="s">
        <v>62</v>
      </c>
      <c r="P99" s="24">
        <v>45402</v>
      </c>
      <c r="Q99" t="s">
        <v>43</v>
      </c>
      <c r="R99" t="s">
        <v>144</v>
      </c>
      <c r="S99" t="s">
        <v>28</v>
      </c>
      <c r="T99" t="s">
        <v>28</v>
      </c>
      <c r="U99" s="18" t="s">
        <v>28</v>
      </c>
      <c r="V99" t="s">
        <v>28</v>
      </c>
      <c r="W99" s="5" t="s">
        <v>378</v>
      </c>
      <c r="X99" s="8" t="s">
        <v>371</v>
      </c>
      <c r="Y99" t="s">
        <v>28</v>
      </c>
      <c r="Z99">
        <v>702</v>
      </c>
      <c r="AA99">
        <f>IF(MainImport[[#This Row],[E/I]]="Import", MONTH(MainImport[[#This Row],[ETA]]), MONTH(MainImport[[#This Row],[ETD]]))</f>
        <v>4</v>
      </c>
      <c r="AB99">
        <f>IF(MainImport[[#This Row],[E/I]]="Import", YEAR(MainImport[[#This Row],[ETA]]), YEAR(MainImport[[#This Row],[ETD]]))</f>
        <v>2024</v>
      </c>
    </row>
    <row r="100" spans="1:28" ht="21" customHeight="1" x14ac:dyDescent="0.3">
      <c r="A100" t="s">
        <v>619</v>
      </c>
      <c r="B100" t="s">
        <v>25</v>
      </c>
      <c r="C100" t="s">
        <v>937</v>
      </c>
      <c r="D100" t="s">
        <v>823</v>
      </c>
      <c r="E100" t="s">
        <v>252</v>
      </c>
      <c r="F100" t="s">
        <v>611</v>
      </c>
      <c r="G100" t="s">
        <v>29</v>
      </c>
      <c r="H100" s="28">
        <v>2</v>
      </c>
      <c r="I100" t="s">
        <v>60</v>
      </c>
      <c r="J100" s="6">
        <v>2762</v>
      </c>
      <c r="K100" s="6">
        <v>2.91</v>
      </c>
      <c r="L100" s="9" t="s">
        <v>824</v>
      </c>
      <c r="M100" t="s">
        <v>27</v>
      </c>
      <c r="N100" s="24">
        <v>45389</v>
      </c>
      <c r="O100" t="s">
        <v>62</v>
      </c>
      <c r="P100" s="24">
        <v>45403</v>
      </c>
      <c r="Q100" t="s">
        <v>754</v>
      </c>
      <c r="R100" t="s">
        <v>44</v>
      </c>
      <c r="S100" s="11" t="s">
        <v>610</v>
      </c>
      <c r="T100" t="s">
        <v>28</v>
      </c>
      <c r="U100" t="s">
        <v>612</v>
      </c>
      <c r="V100" s="19" t="s">
        <v>614</v>
      </c>
      <c r="W100" s="5" t="s">
        <v>615</v>
      </c>
      <c r="X100" s="5" t="s">
        <v>613</v>
      </c>
      <c r="Y100" t="s">
        <v>28</v>
      </c>
      <c r="Z100">
        <v>993.3</v>
      </c>
      <c r="AA100">
        <f>IF(MainImport[[#This Row],[E/I]]="Import", MONTH(MainImport[[#This Row],[ETA]]), MONTH(MainImport[[#This Row],[ETD]]))</f>
        <v>4</v>
      </c>
      <c r="AB100">
        <f>IF(MainImport[[#This Row],[E/I]]="Import", YEAR(MainImport[[#This Row],[ETA]]), YEAR(MainImport[[#This Row],[ETD]]))</f>
        <v>2024</v>
      </c>
    </row>
    <row r="101" spans="1:28" ht="17.399999999999999" customHeight="1" x14ac:dyDescent="0.3">
      <c r="A101" t="s">
        <v>414</v>
      </c>
      <c r="B101" t="s">
        <v>25</v>
      </c>
      <c r="C101" t="s">
        <v>940</v>
      </c>
      <c r="D101" t="s">
        <v>28</v>
      </c>
      <c r="E101" t="s">
        <v>213</v>
      </c>
      <c r="F101" t="s">
        <v>40</v>
      </c>
      <c r="G101" t="s">
        <v>26</v>
      </c>
      <c r="H101" s="28">
        <v>8</v>
      </c>
      <c r="I101" t="s">
        <v>90</v>
      </c>
      <c r="J101" s="6">
        <v>217700</v>
      </c>
      <c r="K101" s="6">
        <v>8</v>
      </c>
      <c r="L101" s="5" t="s">
        <v>447</v>
      </c>
      <c r="M101" t="s">
        <v>27</v>
      </c>
      <c r="N101" s="24">
        <v>45339</v>
      </c>
      <c r="O101" t="s">
        <v>412</v>
      </c>
      <c r="P101" s="24">
        <v>45406</v>
      </c>
      <c r="Q101" t="s">
        <v>149</v>
      </c>
      <c r="R101" t="s">
        <v>144</v>
      </c>
      <c r="S101" t="s">
        <v>28</v>
      </c>
      <c r="T101" t="s">
        <v>28</v>
      </c>
      <c r="U101" s="18" t="s">
        <v>28</v>
      </c>
      <c r="V101" t="s">
        <v>28</v>
      </c>
      <c r="W101" s="5" t="s">
        <v>424</v>
      </c>
      <c r="X101" s="8" t="s">
        <v>413</v>
      </c>
      <c r="Y101" t="s">
        <v>523</v>
      </c>
      <c r="Z101">
        <v>5539.65</v>
      </c>
      <c r="AA101">
        <f>IF(MainImport[[#This Row],[E/I]]="Import", MONTH(MainImport[[#This Row],[ETA]]), MONTH(MainImport[[#This Row],[ETD]]))</f>
        <v>4</v>
      </c>
      <c r="AB101">
        <f>IF(MainImport[[#This Row],[E/I]]="Import", YEAR(MainImport[[#This Row],[ETA]]), YEAR(MainImport[[#This Row],[ETD]]))</f>
        <v>2024</v>
      </c>
    </row>
    <row r="102" spans="1:28" ht="18" customHeight="1" x14ac:dyDescent="0.3">
      <c r="A102" t="s">
        <v>400</v>
      </c>
      <c r="B102" t="s">
        <v>25</v>
      </c>
      <c r="C102" t="s">
        <v>946</v>
      </c>
      <c r="D102" t="s">
        <v>560</v>
      </c>
      <c r="E102" t="s">
        <v>28</v>
      </c>
      <c r="F102" t="s">
        <v>28</v>
      </c>
      <c r="G102" t="s">
        <v>26</v>
      </c>
      <c r="H102" s="28">
        <v>1</v>
      </c>
      <c r="I102" t="s">
        <v>41</v>
      </c>
      <c r="J102" s="6">
        <v>6100</v>
      </c>
      <c r="K102" s="6">
        <v>2</v>
      </c>
      <c r="L102" s="9" t="s">
        <v>561</v>
      </c>
      <c r="M102" t="s">
        <v>27</v>
      </c>
      <c r="N102" s="24">
        <v>45345</v>
      </c>
      <c r="O102" t="s">
        <v>399</v>
      </c>
      <c r="P102" s="24">
        <v>45407</v>
      </c>
      <c r="Q102" t="s">
        <v>398</v>
      </c>
      <c r="R102" t="s">
        <v>69</v>
      </c>
      <c r="S102" t="s">
        <v>28</v>
      </c>
      <c r="T102" t="s">
        <v>28</v>
      </c>
      <c r="U102" t="s">
        <v>28</v>
      </c>
      <c r="V102" t="s">
        <v>28</v>
      </c>
      <c r="W102" s="5" t="s">
        <v>562</v>
      </c>
      <c r="X102" s="8" t="s">
        <v>28</v>
      </c>
      <c r="Y102" t="s">
        <v>28</v>
      </c>
      <c r="Z102">
        <v>1050.96</v>
      </c>
      <c r="AA102">
        <f>IF(MainImport[[#This Row],[E/I]]="Import", MONTH(MainImport[[#This Row],[ETA]]), MONTH(MainImport[[#This Row],[ETD]]))</f>
        <v>4</v>
      </c>
      <c r="AB102">
        <f>IF(MainImport[[#This Row],[E/I]]="Import", YEAR(MainImport[[#This Row],[ETA]]), YEAR(MainImport[[#This Row],[ETD]]))</f>
        <v>2024</v>
      </c>
    </row>
    <row r="103" spans="1:28" ht="17.399999999999999" customHeight="1" x14ac:dyDescent="0.3">
      <c r="A103" t="s">
        <v>464</v>
      </c>
      <c r="B103" t="s">
        <v>25</v>
      </c>
      <c r="C103" t="s">
        <v>954</v>
      </c>
      <c r="D103" t="s">
        <v>471</v>
      </c>
      <c r="E103" t="s">
        <v>28</v>
      </c>
      <c r="F103" t="s">
        <v>40</v>
      </c>
      <c r="G103" t="s">
        <v>26</v>
      </c>
      <c r="H103" s="28">
        <v>1</v>
      </c>
      <c r="I103" t="s">
        <v>466</v>
      </c>
      <c r="J103" s="6">
        <v>3170</v>
      </c>
      <c r="K103" s="6">
        <v>2</v>
      </c>
      <c r="L103" s="9" t="s">
        <v>534</v>
      </c>
      <c r="M103" t="s">
        <v>27</v>
      </c>
      <c r="N103" s="24">
        <v>45357</v>
      </c>
      <c r="O103" t="s">
        <v>62</v>
      </c>
      <c r="P103" s="24">
        <v>45408</v>
      </c>
      <c r="Q103" t="s">
        <v>43</v>
      </c>
      <c r="R103" t="s">
        <v>28</v>
      </c>
      <c r="S103" t="s">
        <v>473</v>
      </c>
      <c r="T103" t="s">
        <v>970</v>
      </c>
      <c r="U103" t="s">
        <v>28</v>
      </c>
      <c r="V103" t="s">
        <v>28</v>
      </c>
      <c r="W103" s="5" t="s">
        <v>576</v>
      </c>
      <c r="X103" s="8" t="s">
        <v>465</v>
      </c>
      <c r="Y103" t="s">
        <v>577</v>
      </c>
      <c r="Z103">
        <v>2889.19</v>
      </c>
      <c r="AA103">
        <f>IF(MainImport[[#This Row],[E/I]]="Import", MONTH(MainImport[[#This Row],[ETA]]), MONTH(MainImport[[#This Row],[ETD]]))</f>
        <v>4</v>
      </c>
      <c r="AB103">
        <f>IF(MainImport[[#This Row],[E/I]]="Import", YEAR(MainImport[[#This Row],[ETA]]), YEAR(MainImport[[#This Row],[ETD]]))</f>
        <v>2024</v>
      </c>
    </row>
    <row r="104" spans="1:28" ht="19.8" customHeight="1" x14ac:dyDescent="0.3">
      <c r="A104" t="s">
        <v>479</v>
      </c>
      <c r="B104" t="s">
        <v>25</v>
      </c>
      <c r="C104" t="s">
        <v>953</v>
      </c>
      <c r="D104" t="s">
        <v>480</v>
      </c>
      <c r="E104" t="s">
        <v>28</v>
      </c>
      <c r="F104" t="s">
        <v>63</v>
      </c>
      <c r="G104" t="s">
        <v>29</v>
      </c>
      <c r="H104" s="28">
        <v>153</v>
      </c>
      <c r="I104" t="s">
        <v>51</v>
      </c>
      <c r="J104" s="6">
        <v>1507</v>
      </c>
      <c r="K104" s="6">
        <v>8.4</v>
      </c>
      <c r="L104" s="9" t="s">
        <v>641</v>
      </c>
      <c r="M104" t="s">
        <v>27</v>
      </c>
      <c r="N104" s="24">
        <v>45364</v>
      </c>
      <c r="O104" t="s">
        <v>53</v>
      </c>
      <c r="P104" s="24">
        <v>45408</v>
      </c>
      <c r="Q104" t="s">
        <v>43</v>
      </c>
      <c r="R104" t="s">
        <v>28</v>
      </c>
      <c r="S104" t="s">
        <v>548</v>
      </c>
      <c r="T104" t="s">
        <v>961</v>
      </c>
      <c r="U104" t="s">
        <v>28</v>
      </c>
      <c r="V104" t="s">
        <v>28</v>
      </c>
      <c r="W104" s="5" t="s">
        <v>481</v>
      </c>
      <c r="X104" s="8" t="s">
        <v>28</v>
      </c>
      <c r="Y104" t="s">
        <v>28</v>
      </c>
      <c r="Z104">
        <v>1618.18</v>
      </c>
      <c r="AA104">
        <f>IF(MainImport[[#This Row],[E/I]]="Import", MONTH(MainImport[[#This Row],[ETA]]), MONTH(MainImport[[#This Row],[ETD]]))</f>
        <v>4</v>
      </c>
      <c r="AB104">
        <f>IF(MainImport[[#This Row],[E/I]]="Import", YEAR(MainImport[[#This Row],[ETA]]), YEAR(MainImport[[#This Row],[ETD]]))</f>
        <v>2024</v>
      </c>
    </row>
    <row r="105" spans="1:28" ht="19.2" customHeight="1" x14ac:dyDescent="0.3">
      <c r="A105" t="s">
        <v>539</v>
      </c>
      <c r="B105" t="s">
        <v>25</v>
      </c>
      <c r="C105" t="s">
        <v>962</v>
      </c>
      <c r="D105" t="s">
        <v>569</v>
      </c>
      <c r="E105" t="s">
        <v>39</v>
      </c>
      <c r="F105" t="s">
        <v>40</v>
      </c>
      <c r="G105" t="s">
        <v>26</v>
      </c>
      <c r="H105" s="28">
        <v>1</v>
      </c>
      <c r="I105" t="s">
        <v>41</v>
      </c>
      <c r="J105" s="6">
        <v>11508</v>
      </c>
      <c r="K105" s="6">
        <v>2</v>
      </c>
      <c r="L105" s="9" t="s">
        <v>647</v>
      </c>
      <c r="M105" t="s">
        <v>27</v>
      </c>
      <c r="N105" s="24">
        <v>45364</v>
      </c>
      <c r="O105" t="s">
        <v>62</v>
      </c>
      <c r="P105" s="24">
        <v>45408</v>
      </c>
      <c r="Q105" t="s">
        <v>43</v>
      </c>
      <c r="R105" t="s">
        <v>541</v>
      </c>
      <c r="S105" t="s">
        <v>698</v>
      </c>
      <c r="T105" t="s">
        <v>963</v>
      </c>
      <c r="U105" t="s">
        <v>648</v>
      </c>
      <c r="V105" t="s">
        <v>28</v>
      </c>
      <c r="W105" s="5" t="s">
        <v>538</v>
      </c>
      <c r="X105" s="8" t="s">
        <v>28</v>
      </c>
      <c r="Y105" t="s">
        <v>28</v>
      </c>
      <c r="Z105">
        <v>2379.09</v>
      </c>
      <c r="AA105">
        <f>IF(MainImport[[#This Row],[E/I]]="Import", MONTH(MainImport[[#This Row],[ETA]]), MONTH(MainImport[[#This Row],[ETD]]))</f>
        <v>4</v>
      </c>
      <c r="AB105">
        <f>IF(MainImport[[#This Row],[E/I]]="Import", YEAR(MainImport[[#This Row],[ETA]]), YEAR(MainImport[[#This Row],[ETD]]))</f>
        <v>2024</v>
      </c>
    </row>
    <row r="106" spans="1:28" ht="19.2" customHeight="1" x14ac:dyDescent="0.3">
      <c r="A106" t="s">
        <v>435</v>
      </c>
      <c r="B106" t="s">
        <v>25</v>
      </c>
      <c r="C106" t="s">
        <v>962</v>
      </c>
      <c r="D106" t="s">
        <v>579</v>
      </c>
      <c r="E106" t="s">
        <v>580</v>
      </c>
      <c r="F106" t="s">
        <v>40</v>
      </c>
      <c r="G106" t="s">
        <v>26</v>
      </c>
      <c r="H106" s="28">
        <v>1</v>
      </c>
      <c r="I106" t="s">
        <v>41</v>
      </c>
      <c r="J106" s="6">
        <v>13830.4</v>
      </c>
      <c r="K106" s="6">
        <v>2</v>
      </c>
      <c r="L106" s="9" t="s">
        <v>477</v>
      </c>
      <c r="M106" t="s">
        <v>27</v>
      </c>
      <c r="N106" s="24">
        <v>45351</v>
      </c>
      <c r="O106" t="s">
        <v>99</v>
      </c>
      <c r="P106" s="24">
        <v>45409</v>
      </c>
      <c r="Q106" t="s">
        <v>43</v>
      </c>
      <c r="R106" t="s">
        <v>541</v>
      </c>
      <c r="S106" s="5" t="s">
        <v>697</v>
      </c>
      <c r="T106" t="s">
        <v>963</v>
      </c>
      <c r="U106" t="s">
        <v>535</v>
      </c>
      <c r="V106" t="s">
        <v>28</v>
      </c>
      <c r="W106" s="5" t="s">
        <v>442</v>
      </c>
      <c r="X106" s="8" t="s">
        <v>28</v>
      </c>
      <c r="Y106" t="s">
        <v>28</v>
      </c>
      <c r="Z106">
        <v>1576.37</v>
      </c>
      <c r="AA106">
        <f>IF(MainImport[[#This Row],[E/I]]="Import", MONTH(MainImport[[#This Row],[ETA]]), MONTH(MainImport[[#This Row],[ETD]]))</f>
        <v>4</v>
      </c>
      <c r="AB106">
        <f>IF(MainImport[[#This Row],[E/I]]="Import", YEAR(MainImport[[#This Row],[ETA]]), YEAR(MainImport[[#This Row],[ETD]]))</f>
        <v>2024</v>
      </c>
    </row>
    <row r="107" spans="1:28" ht="18" customHeight="1" x14ac:dyDescent="0.3">
      <c r="A107" t="s">
        <v>301</v>
      </c>
      <c r="B107" t="s">
        <v>25</v>
      </c>
      <c r="C107" t="s">
        <v>949</v>
      </c>
      <c r="D107" t="s">
        <v>395</v>
      </c>
      <c r="E107" t="s">
        <v>498</v>
      </c>
      <c r="F107" t="s">
        <v>63</v>
      </c>
      <c r="G107" t="s">
        <v>26</v>
      </c>
      <c r="H107" s="28">
        <v>1</v>
      </c>
      <c r="I107" t="s">
        <v>41</v>
      </c>
      <c r="J107" s="6">
        <v>11770</v>
      </c>
      <c r="K107" s="6">
        <v>2</v>
      </c>
      <c r="L107" s="9" t="s">
        <v>391</v>
      </c>
      <c r="M107" t="s">
        <v>27</v>
      </c>
      <c r="N107" s="24">
        <v>45338</v>
      </c>
      <c r="O107" s="3" t="s">
        <v>99</v>
      </c>
      <c r="P107" s="24">
        <v>45409</v>
      </c>
      <c r="Q107" t="s">
        <v>43</v>
      </c>
      <c r="R107" t="s">
        <v>382</v>
      </c>
      <c r="S107" t="s">
        <v>28</v>
      </c>
      <c r="T107" t="s">
        <v>28</v>
      </c>
      <c r="U107" s="18" t="s">
        <v>28</v>
      </c>
      <c r="V107" t="s">
        <v>28</v>
      </c>
      <c r="W107" s="5" t="s">
        <v>441</v>
      </c>
      <c r="X107" s="8" t="s">
        <v>299</v>
      </c>
      <c r="Y107" t="s">
        <v>28</v>
      </c>
      <c r="Z107">
        <v>5102.12</v>
      </c>
      <c r="AA107">
        <f>IF(MainImport[[#This Row],[E/I]]="Import", MONTH(MainImport[[#This Row],[ETA]]), MONTH(MainImport[[#This Row],[ETD]]))</f>
        <v>4</v>
      </c>
      <c r="AB107">
        <f>IF(MainImport[[#This Row],[E/I]]="Import", YEAR(MainImport[[#This Row],[ETA]]), YEAR(MainImport[[#This Row],[ETD]]))</f>
        <v>2024</v>
      </c>
    </row>
    <row r="108" spans="1:28" ht="18" customHeight="1" x14ac:dyDescent="0.3">
      <c r="A108" t="s">
        <v>383</v>
      </c>
      <c r="B108" t="s">
        <v>25</v>
      </c>
      <c r="C108" t="s">
        <v>949</v>
      </c>
      <c r="D108" t="s">
        <v>394</v>
      </c>
      <c r="E108" t="s">
        <v>498</v>
      </c>
      <c r="F108" t="s">
        <v>63</v>
      </c>
      <c r="G108" t="s">
        <v>26</v>
      </c>
      <c r="H108" s="28">
        <v>1</v>
      </c>
      <c r="I108" t="s">
        <v>41</v>
      </c>
      <c r="J108" s="6">
        <v>11720</v>
      </c>
      <c r="K108" s="6">
        <v>2</v>
      </c>
      <c r="L108" s="9" t="s">
        <v>420</v>
      </c>
      <c r="M108" t="s">
        <v>27</v>
      </c>
      <c r="N108" s="24">
        <v>45339</v>
      </c>
      <c r="O108" t="s">
        <v>220</v>
      </c>
      <c r="P108" s="24">
        <v>45409</v>
      </c>
      <c r="Q108" t="s">
        <v>43</v>
      </c>
      <c r="R108" t="s">
        <v>382</v>
      </c>
      <c r="S108" t="s">
        <v>28</v>
      </c>
      <c r="T108" t="s">
        <v>28</v>
      </c>
      <c r="U108" s="18">
        <v>3973</v>
      </c>
      <c r="V108" t="s">
        <v>28</v>
      </c>
      <c r="W108" s="5" t="s">
        <v>384</v>
      </c>
      <c r="X108" s="5" t="s">
        <v>385</v>
      </c>
      <c r="Y108" t="s">
        <v>28</v>
      </c>
      <c r="Z108">
        <v>3973.78</v>
      </c>
      <c r="AA108">
        <f>IF(MainImport[[#This Row],[E/I]]="Import", MONTH(MainImport[[#This Row],[ETA]]), MONTH(MainImport[[#This Row],[ETD]]))</f>
        <v>4</v>
      </c>
      <c r="AB108">
        <f>IF(MainImport[[#This Row],[E/I]]="Import", YEAR(MainImport[[#This Row],[ETA]]), YEAR(MainImport[[#This Row],[ETD]]))</f>
        <v>2024</v>
      </c>
    </row>
    <row r="109" spans="1:28" ht="19.2" customHeight="1" x14ac:dyDescent="0.3">
      <c r="A109" t="s">
        <v>666</v>
      </c>
      <c r="B109" t="s">
        <v>25</v>
      </c>
      <c r="C109" t="s">
        <v>907</v>
      </c>
      <c r="D109" t="s">
        <v>910</v>
      </c>
      <c r="E109" t="s">
        <v>28</v>
      </c>
      <c r="F109" t="s">
        <v>40</v>
      </c>
      <c r="G109" t="s">
        <v>26</v>
      </c>
      <c r="H109" s="28">
        <v>1</v>
      </c>
      <c r="I109" t="s">
        <v>41</v>
      </c>
      <c r="J109" s="6" t="s">
        <v>28</v>
      </c>
      <c r="K109" s="6">
        <v>2</v>
      </c>
      <c r="L109" s="9" t="s">
        <v>591</v>
      </c>
      <c r="M109" t="s">
        <v>27</v>
      </c>
      <c r="N109" s="24">
        <v>45366</v>
      </c>
      <c r="O109" t="s">
        <v>53</v>
      </c>
      <c r="P109" s="24">
        <v>45412</v>
      </c>
      <c r="Q109" t="s">
        <v>43</v>
      </c>
      <c r="R109" t="s">
        <v>547</v>
      </c>
      <c r="S109" s="5" t="s">
        <v>533</v>
      </c>
      <c r="T109" t="s">
        <v>909</v>
      </c>
      <c r="U109" t="s">
        <v>28</v>
      </c>
      <c r="V109" t="s">
        <v>28</v>
      </c>
      <c r="W109" s="5" t="s">
        <v>665</v>
      </c>
      <c r="X109" s="8" t="s">
        <v>514</v>
      </c>
      <c r="Y109" t="s">
        <v>664</v>
      </c>
      <c r="Z109">
        <v>2458</v>
      </c>
      <c r="AA109">
        <f>IF(MainImport[[#This Row],[E/I]]="Import", MONTH(MainImport[[#This Row],[ETA]]), MONTH(MainImport[[#This Row],[ETD]]))</f>
        <v>4</v>
      </c>
      <c r="AB109">
        <f>IF(MainImport[[#This Row],[E/I]]="Import", YEAR(MainImport[[#This Row],[ETA]]), YEAR(MainImport[[#This Row],[ETD]]))</f>
        <v>2024</v>
      </c>
    </row>
    <row r="110" spans="1:28" ht="19.8" customHeight="1" x14ac:dyDescent="0.3">
      <c r="A110" t="s">
        <v>540</v>
      </c>
      <c r="B110" t="s">
        <v>25</v>
      </c>
      <c r="C110" t="s">
        <v>922</v>
      </c>
      <c r="D110" t="s">
        <v>725</v>
      </c>
      <c r="E110" t="s">
        <v>28</v>
      </c>
      <c r="F110" t="s">
        <v>40</v>
      </c>
      <c r="G110" t="s">
        <v>26</v>
      </c>
      <c r="H110" s="28">
        <v>1</v>
      </c>
      <c r="I110" t="s">
        <v>41</v>
      </c>
      <c r="J110" s="6">
        <v>8000</v>
      </c>
      <c r="K110" s="6">
        <v>2</v>
      </c>
      <c r="L110" s="9" t="s">
        <v>724</v>
      </c>
      <c r="M110" t="s">
        <v>27</v>
      </c>
      <c r="N110" s="24">
        <v>45366</v>
      </c>
      <c r="O110" t="s">
        <v>62</v>
      </c>
      <c r="P110" s="24">
        <v>45412</v>
      </c>
      <c r="Q110" t="s">
        <v>43</v>
      </c>
      <c r="R110" t="s">
        <v>730</v>
      </c>
      <c r="S110" s="11" t="s">
        <v>552</v>
      </c>
      <c r="T110" t="s">
        <v>923</v>
      </c>
      <c r="U110" t="s">
        <v>553</v>
      </c>
      <c r="V110" s="14" t="s">
        <v>875</v>
      </c>
      <c r="W110" s="8" t="s">
        <v>28</v>
      </c>
      <c r="X110" s="8" t="s">
        <v>554</v>
      </c>
      <c r="Y110" t="s">
        <v>28</v>
      </c>
      <c r="Z110">
        <v>2786.9</v>
      </c>
      <c r="AA110">
        <f>IF(MainImport[[#This Row],[E/I]]="Import", MONTH(MainImport[[#This Row],[ETA]]), MONTH(MainImport[[#This Row],[ETD]]))</f>
        <v>4</v>
      </c>
      <c r="AB110">
        <f>IF(MainImport[[#This Row],[E/I]]="Import", YEAR(MainImport[[#This Row],[ETA]]), YEAR(MainImport[[#This Row],[ETD]]))</f>
        <v>2024</v>
      </c>
    </row>
    <row r="111" spans="1:28" ht="17.399999999999999" customHeight="1" x14ac:dyDescent="0.3">
      <c r="A111" t="s">
        <v>487</v>
      </c>
      <c r="B111" t="s">
        <v>25</v>
      </c>
      <c r="C111" t="s">
        <v>922</v>
      </c>
      <c r="D111" t="s">
        <v>488</v>
      </c>
      <c r="E111" t="s">
        <v>39</v>
      </c>
      <c r="F111" t="s">
        <v>40</v>
      </c>
      <c r="G111" t="s">
        <v>26</v>
      </c>
      <c r="H111" s="28">
        <v>2</v>
      </c>
      <c r="I111" t="s">
        <v>41</v>
      </c>
      <c r="J111" s="6">
        <v>18020</v>
      </c>
      <c r="K111" s="6">
        <v>4</v>
      </c>
      <c r="L111" s="15" t="s">
        <v>729</v>
      </c>
      <c r="M111" t="s">
        <v>27</v>
      </c>
      <c r="N111" s="24">
        <v>45366</v>
      </c>
      <c r="O111" t="s">
        <v>62</v>
      </c>
      <c r="P111" s="24">
        <v>45412</v>
      </c>
      <c r="Q111" t="s">
        <v>43</v>
      </c>
      <c r="R111" t="s">
        <v>730</v>
      </c>
      <c r="S111" t="s">
        <v>528</v>
      </c>
      <c r="T111" t="s">
        <v>923</v>
      </c>
      <c r="U111" t="s">
        <v>28</v>
      </c>
      <c r="V111" t="s">
        <v>28</v>
      </c>
      <c r="W111" s="5" t="s">
        <v>496</v>
      </c>
      <c r="X111" s="8" t="s">
        <v>566</v>
      </c>
      <c r="Y111" t="s">
        <v>28</v>
      </c>
      <c r="Z111">
        <v>5675.98</v>
      </c>
      <c r="AA111">
        <f>IF(MainImport[[#This Row],[E/I]]="Import", MONTH(MainImport[[#This Row],[ETA]]), MONTH(MainImport[[#This Row],[ETD]]))</f>
        <v>4</v>
      </c>
      <c r="AB111">
        <f>IF(MainImport[[#This Row],[E/I]]="Import", YEAR(MainImport[[#This Row],[ETA]]), YEAR(MainImport[[#This Row],[ETD]]))</f>
        <v>2024</v>
      </c>
    </row>
    <row r="112" spans="1:28" ht="16.8" customHeight="1" x14ac:dyDescent="0.3">
      <c r="A112" t="s">
        <v>461</v>
      </c>
      <c r="B112" t="s">
        <v>25</v>
      </c>
      <c r="C112" t="s">
        <v>929</v>
      </c>
      <c r="D112" s="20" t="s">
        <v>785</v>
      </c>
      <c r="E112" t="s">
        <v>28</v>
      </c>
      <c r="F112" t="s">
        <v>40</v>
      </c>
      <c r="G112" t="s">
        <v>29</v>
      </c>
      <c r="H112" s="28">
        <v>2</v>
      </c>
      <c r="I112" t="s">
        <v>83</v>
      </c>
      <c r="J112" s="6">
        <v>390</v>
      </c>
      <c r="K112" s="6">
        <v>1.93</v>
      </c>
      <c r="L112" s="9" t="s">
        <v>650</v>
      </c>
      <c r="M112" t="s">
        <v>27</v>
      </c>
      <c r="N112" s="24">
        <v>45364</v>
      </c>
      <c r="O112" t="s">
        <v>99</v>
      </c>
      <c r="P112" s="24">
        <v>45415</v>
      </c>
      <c r="Q112" t="s">
        <v>43</v>
      </c>
      <c r="R112" t="s">
        <v>28</v>
      </c>
      <c r="S112" t="s">
        <v>389</v>
      </c>
      <c r="T112" t="s">
        <v>28</v>
      </c>
      <c r="U112" t="s">
        <v>28</v>
      </c>
      <c r="V112" t="s">
        <v>28</v>
      </c>
      <c r="W112" s="5" t="s">
        <v>390</v>
      </c>
      <c r="X112" s="5" t="s">
        <v>659</v>
      </c>
      <c r="Y112" t="s">
        <v>28</v>
      </c>
      <c r="Z112">
        <v>384.1</v>
      </c>
      <c r="AA112">
        <f>IF(MainImport[[#This Row],[E/I]]="Import", MONTH(MainImport[[#This Row],[ETA]]), MONTH(MainImport[[#This Row],[ETD]]))</f>
        <v>5</v>
      </c>
      <c r="AB112">
        <f>IF(MainImport[[#This Row],[E/I]]="Import", YEAR(MainImport[[#This Row],[ETA]]), YEAR(MainImport[[#This Row],[ETD]]))</f>
        <v>2024</v>
      </c>
    </row>
    <row r="113" spans="1:28" ht="17.399999999999999" customHeight="1" x14ac:dyDescent="0.3">
      <c r="A113" t="s">
        <v>504</v>
      </c>
      <c r="B113" t="s">
        <v>25</v>
      </c>
      <c r="C113" t="s">
        <v>955</v>
      </c>
      <c r="D113" t="s">
        <v>507</v>
      </c>
      <c r="E113" t="s">
        <v>39</v>
      </c>
      <c r="F113" t="s">
        <v>40</v>
      </c>
      <c r="G113" t="s">
        <v>26</v>
      </c>
      <c r="H113" s="28">
        <v>1</v>
      </c>
      <c r="I113" t="s">
        <v>41</v>
      </c>
      <c r="J113" s="6" t="s">
        <v>28</v>
      </c>
      <c r="K113" s="6">
        <v>2</v>
      </c>
      <c r="L113" s="9" t="s">
        <v>601</v>
      </c>
      <c r="M113" t="s">
        <v>27</v>
      </c>
      <c r="N113" s="24">
        <v>45364</v>
      </c>
      <c r="O113" t="s">
        <v>89</v>
      </c>
      <c r="P113" s="24">
        <v>45415</v>
      </c>
      <c r="Q113" t="s">
        <v>43</v>
      </c>
      <c r="R113" t="s">
        <v>144</v>
      </c>
      <c r="S113" t="s">
        <v>515</v>
      </c>
      <c r="T113" t="s">
        <v>505</v>
      </c>
      <c r="U113" t="s">
        <v>28</v>
      </c>
      <c r="V113" t="s">
        <v>28</v>
      </c>
      <c r="W113" s="5" t="s">
        <v>506</v>
      </c>
      <c r="X113" s="8" t="s">
        <v>514</v>
      </c>
      <c r="Y113" t="s">
        <v>28</v>
      </c>
      <c r="Z113">
        <v>1818.05</v>
      </c>
      <c r="AA113">
        <f>IF(MainImport[[#This Row],[E/I]]="Import", MONTH(MainImport[[#This Row],[ETA]]), MONTH(MainImport[[#This Row],[ETD]]))</f>
        <v>5</v>
      </c>
      <c r="AB113">
        <f>IF(MainImport[[#This Row],[E/I]]="Import", YEAR(MainImport[[#This Row],[ETA]]), YEAR(MainImport[[#This Row],[ETD]]))</f>
        <v>2024</v>
      </c>
    </row>
    <row r="114" spans="1:28" ht="18.600000000000001" customHeight="1" x14ac:dyDescent="0.3">
      <c r="A114" t="s">
        <v>518</v>
      </c>
      <c r="B114" t="s">
        <v>25</v>
      </c>
      <c r="C114" t="s">
        <v>935</v>
      </c>
      <c r="D114" t="s">
        <v>602</v>
      </c>
      <c r="E114" t="s">
        <v>39</v>
      </c>
      <c r="F114" t="s">
        <v>40</v>
      </c>
      <c r="G114" t="s">
        <v>26</v>
      </c>
      <c r="H114" s="28">
        <v>2</v>
      </c>
      <c r="I114" t="s">
        <v>90</v>
      </c>
      <c r="J114" s="6">
        <v>38940</v>
      </c>
      <c r="K114" s="6">
        <v>2</v>
      </c>
      <c r="L114" s="5" t="s">
        <v>691</v>
      </c>
      <c r="M114" t="s">
        <v>27</v>
      </c>
      <c r="N114" s="24">
        <v>45364</v>
      </c>
      <c r="O114" t="s">
        <v>89</v>
      </c>
      <c r="P114" s="24">
        <v>45415</v>
      </c>
      <c r="Q114" t="s">
        <v>43</v>
      </c>
      <c r="R114" t="s">
        <v>144</v>
      </c>
      <c r="S114" t="s">
        <v>28</v>
      </c>
      <c r="T114" t="s">
        <v>28</v>
      </c>
      <c r="U114" t="s">
        <v>28</v>
      </c>
      <c r="V114" t="s">
        <v>28</v>
      </c>
      <c r="W114" s="5" t="s">
        <v>509</v>
      </c>
      <c r="X114" s="8" t="s">
        <v>508</v>
      </c>
      <c r="Y114" t="s">
        <v>28</v>
      </c>
      <c r="Z114">
        <v>2660.54</v>
      </c>
      <c r="AA114">
        <f>IF(MainImport[[#This Row],[E/I]]="Import", MONTH(MainImport[[#This Row],[ETA]]), MONTH(MainImport[[#This Row],[ETD]]))</f>
        <v>5</v>
      </c>
      <c r="AB114">
        <f>IF(MainImport[[#This Row],[E/I]]="Import", YEAR(MainImport[[#This Row],[ETA]]), YEAR(MainImport[[#This Row],[ETD]]))</f>
        <v>2024</v>
      </c>
    </row>
    <row r="115" spans="1:28" ht="18" customHeight="1" x14ac:dyDescent="0.3">
      <c r="A115" t="s">
        <v>470</v>
      </c>
      <c r="B115" t="s">
        <v>25</v>
      </c>
      <c r="C115" t="s">
        <v>938</v>
      </c>
      <c r="D115" t="s">
        <v>536</v>
      </c>
      <c r="E115" t="s">
        <v>28</v>
      </c>
      <c r="F115" t="s">
        <v>40</v>
      </c>
      <c r="G115" t="s">
        <v>26</v>
      </c>
      <c r="H115" s="28">
        <v>1</v>
      </c>
      <c r="I115" t="s">
        <v>90</v>
      </c>
      <c r="J115" s="6">
        <v>5487.16</v>
      </c>
      <c r="K115" s="6">
        <v>1</v>
      </c>
      <c r="L115" s="9" t="s">
        <v>578</v>
      </c>
      <c r="M115" t="s">
        <v>27</v>
      </c>
      <c r="N115" s="24">
        <v>45364</v>
      </c>
      <c r="O115" t="s">
        <v>472</v>
      </c>
      <c r="P115" s="24">
        <v>45415</v>
      </c>
      <c r="Q115" t="s">
        <v>43</v>
      </c>
      <c r="R115" t="s">
        <v>28</v>
      </c>
      <c r="S115" s="11" t="s">
        <v>467</v>
      </c>
      <c r="T115" t="s">
        <v>28</v>
      </c>
      <c r="U115" s="11" t="s">
        <v>537</v>
      </c>
      <c r="V115" t="s">
        <v>28</v>
      </c>
      <c r="W115" s="8" t="s">
        <v>28</v>
      </c>
      <c r="X115" s="8" t="s">
        <v>28</v>
      </c>
      <c r="Y115" t="s">
        <v>28</v>
      </c>
      <c r="Z115">
        <v>4092.76</v>
      </c>
      <c r="AA115">
        <f>IF(MainImport[[#This Row],[E/I]]="Import", MONTH(MainImport[[#This Row],[ETA]]), MONTH(MainImport[[#This Row],[ETD]]))</f>
        <v>5</v>
      </c>
      <c r="AB115">
        <f>IF(MainImport[[#This Row],[E/I]]="Import", YEAR(MainImport[[#This Row],[ETA]]), YEAR(MainImport[[#This Row],[ETD]]))</f>
        <v>2024</v>
      </c>
    </row>
    <row r="116" spans="1:28" ht="16.8" customHeight="1" x14ac:dyDescent="0.3">
      <c r="A116" t="s">
        <v>510</v>
      </c>
      <c r="B116" t="s">
        <v>25</v>
      </c>
      <c r="C116" t="s">
        <v>952</v>
      </c>
      <c r="D116" t="s">
        <v>590</v>
      </c>
      <c r="E116" t="s">
        <v>39</v>
      </c>
      <c r="F116" t="s">
        <v>40</v>
      </c>
      <c r="G116" t="s">
        <v>26</v>
      </c>
      <c r="H116" s="28">
        <v>1</v>
      </c>
      <c r="I116" t="s">
        <v>41</v>
      </c>
      <c r="J116" s="6" t="s">
        <v>28</v>
      </c>
      <c r="K116" s="6">
        <v>2</v>
      </c>
      <c r="L116" s="9" t="s">
        <v>710</v>
      </c>
      <c r="M116" t="s">
        <v>27</v>
      </c>
      <c r="N116" s="24">
        <v>45364</v>
      </c>
      <c r="O116" t="s">
        <v>96</v>
      </c>
      <c r="P116" s="24">
        <v>45415</v>
      </c>
      <c r="Q116" t="s">
        <v>43</v>
      </c>
      <c r="R116" t="s">
        <v>485</v>
      </c>
      <c r="S116" s="5" t="s">
        <v>558</v>
      </c>
      <c r="T116" t="s">
        <v>952</v>
      </c>
      <c r="U116" t="s">
        <v>589</v>
      </c>
      <c r="V116" t="s">
        <v>28</v>
      </c>
      <c r="W116" s="5" t="s">
        <v>511</v>
      </c>
      <c r="X116" s="8" t="s">
        <v>557</v>
      </c>
      <c r="Y116" t="s">
        <v>28</v>
      </c>
      <c r="Z116">
        <v>1923.23</v>
      </c>
      <c r="AA116">
        <f>IF(MainImport[[#This Row],[E/I]]="Import", MONTH(MainImport[[#This Row],[ETA]]), MONTH(MainImport[[#This Row],[ETD]]))</f>
        <v>5</v>
      </c>
      <c r="AB116">
        <f>IF(MainImport[[#This Row],[E/I]]="Import", YEAR(MainImport[[#This Row],[ETA]]), YEAR(MainImport[[#This Row],[ETD]]))</f>
        <v>2024</v>
      </c>
    </row>
    <row r="117" spans="1:28" ht="18.600000000000001" customHeight="1" x14ac:dyDescent="0.3">
      <c r="A117" t="s">
        <v>564</v>
      </c>
      <c r="B117" t="s">
        <v>25</v>
      </c>
      <c r="C117" t="s">
        <v>962</v>
      </c>
      <c r="D117" t="s">
        <v>581</v>
      </c>
      <c r="E117" t="s">
        <v>39</v>
      </c>
      <c r="F117" t="s">
        <v>40</v>
      </c>
      <c r="G117" t="s">
        <v>26</v>
      </c>
      <c r="H117" s="28">
        <v>1</v>
      </c>
      <c r="I117" t="s">
        <v>41</v>
      </c>
      <c r="J117" s="6">
        <v>5360</v>
      </c>
      <c r="K117" s="6">
        <v>2</v>
      </c>
      <c r="L117" s="9" t="s">
        <v>699</v>
      </c>
      <c r="M117" t="s">
        <v>27</v>
      </c>
      <c r="N117" s="24">
        <v>45367</v>
      </c>
      <c r="O117" t="s">
        <v>567</v>
      </c>
      <c r="P117" s="24">
        <v>45417</v>
      </c>
      <c r="Q117" t="s">
        <v>43</v>
      </c>
      <c r="R117" t="s">
        <v>541</v>
      </c>
      <c r="S117" s="5" t="s">
        <v>563</v>
      </c>
      <c r="T117" t="s">
        <v>963</v>
      </c>
      <c r="U117" t="s">
        <v>570</v>
      </c>
      <c r="V117" t="s">
        <v>28</v>
      </c>
      <c r="W117" s="5" t="s">
        <v>568</v>
      </c>
      <c r="X117" s="8" t="s">
        <v>554</v>
      </c>
      <c r="Y117" t="s">
        <v>28</v>
      </c>
      <c r="Z117">
        <v>1977.73</v>
      </c>
      <c r="AA117">
        <f>IF(MainImport[[#This Row],[E/I]]="Import", MONTH(MainImport[[#This Row],[ETA]]), MONTH(MainImport[[#This Row],[ETD]]))</f>
        <v>5</v>
      </c>
      <c r="AB117">
        <f>IF(MainImport[[#This Row],[E/I]]="Import", YEAR(MainImport[[#This Row],[ETA]]), YEAR(MainImport[[#This Row],[ETD]]))</f>
        <v>2024</v>
      </c>
    </row>
    <row r="118" spans="1:28" ht="18" customHeight="1" x14ac:dyDescent="0.3">
      <c r="A118" t="s">
        <v>524</v>
      </c>
      <c r="B118" t="s">
        <v>25</v>
      </c>
      <c r="C118" t="s">
        <v>947</v>
      </c>
      <c r="D118" t="s">
        <v>490</v>
      </c>
      <c r="E118" t="s">
        <v>50</v>
      </c>
      <c r="F118" t="s">
        <v>40</v>
      </c>
      <c r="G118" t="s">
        <v>29</v>
      </c>
      <c r="H118" s="28">
        <v>11</v>
      </c>
      <c r="I118" t="s">
        <v>83</v>
      </c>
      <c r="J118" s="6">
        <v>6766</v>
      </c>
      <c r="K118" s="6">
        <v>5.55</v>
      </c>
      <c r="L118" s="9" t="s">
        <v>740</v>
      </c>
      <c r="M118" t="s">
        <v>27</v>
      </c>
      <c r="N118" s="24">
        <v>45366</v>
      </c>
      <c r="O118" t="s">
        <v>62</v>
      </c>
      <c r="P118" s="24">
        <v>45417</v>
      </c>
      <c r="Q118" t="s">
        <v>43</v>
      </c>
      <c r="R118" t="s">
        <v>28</v>
      </c>
      <c r="S118" t="s">
        <v>521</v>
      </c>
      <c r="T118" t="s">
        <v>522</v>
      </c>
      <c r="U118" t="s">
        <v>28</v>
      </c>
      <c r="V118" t="s">
        <v>28</v>
      </c>
      <c r="W118" s="5" t="s">
        <v>519</v>
      </c>
      <c r="X118" s="8" t="s">
        <v>520</v>
      </c>
      <c r="Y118" t="s">
        <v>28</v>
      </c>
      <c r="Z118">
        <v>379.58</v>
      </c>
      <c r="AA118">
        <f>IF(MainImport[[#This Row],[E/I]]="Import", MONTH(MainImport[[#This Row],[ETA]]), MONTH(MainImport[[#This Row],[ETD]]))</f>
        <v>5</v>
      </c>
      <c r="AB118">
        <f>IF(MainImport[[#This Row],[E/I]]="Import", YEAR(MainImport[[#This Row],[ETA]]), YEAR(MainImport[[#This Row],[ETD]]))</f>
        <v>2024</v>
      </c>
    </row>
    <row r="119" spans="1:28" ht="18.600000000000001" customHeight="1" x14ac:dyDescent="0.3">
      <c r="A119" t="s">
        <v>416</v>
      </c>
      <c r="B119" t="s">
        <v>25</v>
      </c>
      <c r="C119" t="s">
        <v>932</v>
      </c>
      <c r="D119" t="s">
        <v>933</v>
      </c>
      <c r="E119" t="s">
        <v>28</v>
      </c>
      <c r="F119" t="s">
        <v>63</v>
      </c>
      <c r="G119" t="s">
        <v>29</v>
      </c>
      <c r="H119" s="28">
        <v>2</v>
      </c>
      <c r="I119" t="s">
        <v>83</v>
      </c>
      <c r="J119" s="6">
        <v>293</v>
      </c>
      <c r="K119" s="6">
        <v>4.6239999999999997</v>
      </c>
      <c r="L119" s="9" t="s">
        <v>727</v>
      </c>
      <c r="M119" t="s">
        <v>27</v>
      </c>
      <c r="N119" s="24">
        <v>45375</v>
      </c>
      <c r="O119" t="s">
        <v>73</v>
      </c>
      <c r="P119" s="24">
        <v>45419</v>
      </c>
      <c r="Q119" t="s">
        <v>43</v>
      </c>
      <c r="R119" t="s">
        <v>28</v>
      </c>
      <c r="S119" t="s">
        <v>543</v>
      </c>
      <c r="T119" t="s">
        <v>544</v>
      </c>
      <c r="U119" t="s">
        <v>28</v>
      </c>
      <c r="V119" t="s">
        <v>28</v>
      </c>
      <c r="W119" s="5" t="s">
        <v>545</v>
      </c>
      <c r="X119" s="8" t="s">
        <v>546</v>
      </c>
      <c r="Y119" t="s">
        <v>28</v>
      </c>
      <c r="Z119">
        <v>1781.78</v>
      </c>
      <c r="AA119">
        <f>IF(MainImport[[#This Row],[E/I]]="Import", MONTH(MainImport[[#This Row],[ETA]]), MONTH(MainImport[[#This Row],[ETD]]))</f>
        <v>5</v>
      </c>
      <c r="AB119">
        <f>IF(MainImport[[#This Row],[E/I]]="Import", YEAR(MainImport[[#This Row],[ETA]]), YEAR(MainImport[[#This Row],[ETD]]))</f>
        <v>2024</v>
      </c>
    </row>
    <row r="120" spans="1:28" ht="19.2" customHeight="1" x14ac:dyDescent="0.3">
      <c r="A120" t="s">
        <v>586</v>
      </c>
      <c r="B120" t="s">
        <v>25</v>
      </c>
      <c r="C120" t="s">
        <v>906</v>
      </c>
      <c r="D120" t="s">
        <v>582</v>
      </c>
      <c r="E120" t="s">
        <v>28</v>
      </c>
      <c r="F120" t="s">
        <v>63</v>
      </c>
      <c r="G120" t="s">
        <v>29</v>
      </c>
      <c r="H120" s="28">
        <v>27</v>
      </c>
      <c r="I120" t="s">
        <v>51</v>
      </c>
      <c r="J120" s="6">
        <v>308</v>
      </c>
      <c r="K120" s="6">
        <v>1.855</v>
      </c>
      <c r="L120" s="9" t="s">
        <v>727</v>
      </c>
      <c r="M120" t="s">
        <v>27</v>
      </c>
      <c r="N120" s="24">
        <v>45376</v>
      </c>
      <c r="O120" t="s">
        <v>73</v>
      </c>
      <c r="P120" s="24">
        <v>45420</v>
      </c>
      <c r="Q120" t="s">
        <v>43</v>
      </c>
      <c r="R120" t="s">
        <v>287</v>
      </c>
      <c r="S120" t="s">
        <v>585</v>
      </c>
      <c r="T120" t="s">
        <v>906</v>
      </c>
      <c r="U120" t="s">
        <v>28</v>
      </c>
      <c r="V120" s="11" t="s">
        <v>583</v>
      </c>
      <c r="W120" s="5" t="s">
        <v>637</v>
      </c>
      <c r="X120" s="5" t="s">
        <v>584</v>
      </c>
      <c r="Y120" t="s">
        <v>28</v>
      </c>
      <c r="Z120">
        <v>474.79</v>
      </c>
      <c r="AA120">
        <f>IF(MainImport[[#This Row],[E/I]]="Import", MONTH(MainImport[[#This Row],[ETA]]), MONTH(MainImport[[#This Row],[ETD]]))</f>
        <v>5</v>
      </c>
      <c r="AB120">
        <f>IF(MainImport[[#This Row],[E/I]]="Import", YEAR(MainImport[[#This Row],[ETA]]), YEAR(MainImport[[#This Row],[ETD]]))</f>
        <v>2024</v>
      </c>
    </row>
    <row r="121" spans="1:28" ht="16.8" customHeight="1" x14ac:dyDescent="0.3">
      <c r="A121" t="s">
        <v>565</v>
      </c>
      <c r="B121" t="s">
        <v>25</v>
      </c>
      <c r="C121" t="s">
        <v>915</v>
      </c>
      <c r="D121" t="s">
        <v>762</v>
      </c>
      <c r="E121" t="s">
        <v>28</v>
      </c>
      <c r="F121" t="s">
        <v>40</v>
      </c>
      <c r="G121" t="s">
        <v>29</v>
      </c>
      <c r="H121" s="28">
        <v>6</v>
      </c>
      <c r="I121" t="s">
        <v>83</v>
      </c>
      <c r="J121" s="6">
        <v>914.54</v>
      </c>
      <c r="K121" s="6">
        <v>8.0299999999999994</v>
      </c>
      <c r="L121" s="9" t="s">
        <v>763</v>
      </c>
      <c r="M121" t="s">
        <v>27</v>
      </c>
      <c r="N121" s="24">
        <v>45372</v>
      </c>
      <c r="O121" t="s">
        <v>150</v>
      </c>
      <c r="P121" s="24">
        <v>45421</v>
      </c>
      <c r="Q121" t="s">
        <v>43</v>
      </c>
      <c r="R121" t="s">
        <v>44</v>
      </c>
      <c r="S121" t="s">
        <v>28</v>
      </c>
      <c r="T121" t="s">
        <v>28</v>
      </c>
      <c r="U121" t="s">
        <v>28</v>
      </c>
      <c r="V121" t="s">
        <v>28</v>
      </c>
      <c r="W121" s="5" t="s">
        <v>559</v>
      </c>
      <c r="X121" s="8" t="s">
        <v>28</v>
      </c>
      <c r="Y121" t="s">
        <v>28</v>
      </c>
      <c r="Z121">
        <v>1682.24</v>
      </c>
      <c r="AA121">
        <f>IF(MainImport[[#This Row],[E/I]]="Import", MONTH(MainImport[[#This Row],[ETA]]), MONTH(MainImport[[#This Row],[ETD]]))</f>
        <v>5</v>
      </c>
      <c r="AB121">
        <f>IF(MainImport[[#This Row],[E/I]]="Import", YEAR(MainImport[[#This Row],[ETA]]), YEAR(MainImport[[#This Row],[ETD]]))</f>
        <v>2024</v>
      </c>
    </row>
    <row r="122" spans="1:28" ht="17.399999999999999" customHeight="1" x14ac:dyDescent="0.3">
      <c r="A122" t="s">
        <v>573</v>
      </c>
      <c r="B122" t="s">
        <v>25</v>
      </c>
      <c r="C122" t="s">
        <v>922</v>
      </c>
      <c r="D122" t="s">
        <v>714</v>
      </c>
      <c r="E122" t="s">
        <v>28</v>
      </c>
      <c r="F122" t="s">
        <v>40</v>
      </c>
      <c r="G122" t="s">
        <v>26</v>
      </c>
      <c r="H122" s="28">
        <v>3</v>
      </c>
      <c r="I122" t="s">
        <v>41</v>
      </c>
      <c r="J122" s="6">
        <v>28038.6</v>
      </c>
      <c r="K122" s="6">
        <v>6</v>
      </c>
      <c r="L122" s="15" t="s">
        <v>715</v>
      </c>
      <c r="M122" t="s">
        <v>27</v>
      </c>
      <c r="N122" s="24">
        <v>45374</v>
      </c>
      <c r="O122" t="s">
        <v>53</v>
      </c>
      <c r="P122" s="24">
        <v>45421</v>
      </c>
      <c r="Q122" t="s">
        <v>43</v>
      </c>
      <c r="R122" t="s">
        <v>730</v>
      </c>
      <c r="S122" s="11" t="s">
        <v>596</v>
      </c>
      <c r="T122" s="11" t="s">
        <v>924</v>
      </c>
      <c r="U122" s="5" t="s">
        <v>598</v>
      </c>
      <c r="V122" t="s">
        <v>28</v>
      </c>
      <c r="W122" s="5" t="s">
        <v>599</v>
      </c>
      <c r="X122" s="8" t="s">
        <v>597</v>
      </c>
      <c r="Y122" t="s">
        <v>28</v>
      </c>
      <c r="Z122">
        <v>7576.53</v>
      </c>
      <c r="AA122">
        <f>IF(MainImport[[#This Row],[E/I]]="Import", MONTH(MainImport[[#This Row],[ETA]]), MONTH(MainImport[[#This Row],[ETD]]))</f>
        <v>5</v>
      </c>
      <c r="AB122">
        <f>IF(MainImport[[#This Row],[E/I]]="Import", YEAR(MainImport[[#This Row],[ETA]]), YEAR(MainImport[[#This Row],[ETD]]))</f>
        <v>2024</v>
      </c>
    </row>
    <row r="123" spans="1:28" ht="16.8" customHeight="1" x14ac:dyDescent="0.3">
      <c r="A123" t="s">
        <v>572</v>
      </c>
      <c r="B123" t="s">
        <v>25</v>
      </c>
      <c r="C123" t="s">
        <v>952</v>
      </c>
      <c r="D123" t="s">
        <v>822</v>
      </c>
      <c r="E123" t="s">
        <v>28</v>
      </c>
      <c r="F123" t="s">
        <v>40</v>
      </c>
      <c r="G123" t="s">
        <v>26</v>
      </c>
      <c r="H123" s="28">
        <v>1</v>
      </c>
      <c r="I123" t="s">
        <v>90</v>
      </c>
      <c r="J123" s="6">
        <v>10317</v>
      </c>
      <c r="K123" s="6">
        <v>1</v>
      </c>
      <c r="L123" s="9" t="s">
        <v>718</v>
      </c>
      <c r="M123" t="s">
        <v>27</v>
      </c>
      <c r="N123" s="24">
        <v>45383</v>
      </c>
      <c r="O123" t="s">
        <v>220</v>
      </c>
      <c r="P123" s="24">
        <v>45425</v>
      </c>
      <c r="Q123" t="s">
        <v>43</v>
      </c>
      <c r="R123" t="s">
        <v>103</v>
      </c>
      <c r="S123" t="s">
        <v>28</v>
      </c>
      <c r="T123" t="s">
        <v>28</v>
      </c>
      <c r="U123" t="s">
        <v>28</v>
      </c>
      <c r="V123" t="s">
        <v>28</v>
      </c>
      <c r="W123" s="5" t="s">
        <v>571</v>
      </c>
      <c r="X123" s="8" t="s">
        <v>28</v>
      </c>
      <c r="Y123" t="s">
        <v>28</v>
      </c>
      <c r="Z123">
        <v>1093.81</v>
      </c>
      <c r="AA123">
        <f>IF(MainImport[[#This Row],[E/I]]="Import", MONTH(MainImport[[#This Row],[ETA]]), MONTH(MainImport[[#This Row],[ETD]]))</f>
        <v>5</v>
      </c>
      <c r="AB123">
        <f>IF(MainImport[[#This Row],[E/I]]="Import", YEAR(MainImport[[#This Row],[ETA]]), YEAR(MainImport[[#This Row],[ETD]]))</f>
        <v>2024</v>
      </c>
    </row>
    <row r="124" spans="1:28" ht="16.8" customHeight="1" x14ac:dyDescent="0.3">
      <c r="A124" t="s">
        <v>651</v>
      </c>
      <c r="B124" t="s">
        <v>25</v>
      </c>
      <c r="C124" t="s">
        <v>906</v>
      </c>
      <c r="D124" t="s">
        <v>657</v>
      </c>
      <c r="E124" t="s">
        <v>28</v>
      </c>
      <c r="F124" t="s">
        <v>40</v>
      </c>
      <c r="G124" t="s">
        <v>29</v>
      </c>
      <c r="H124" s="28">
        <v>21</v>
      </c>
      <c r="I124" t="s">
        <v>51</v>
      </c>
      <c r="J124" s="6">
        <v>245</v>
      </c>
      <c r="K124" s="6">
        <v>1.7</v>
      </c>
      <c r="L124" s="9" t="s">
        <v>828</v>
      </c>
      <c r="M124" t="s">
        <v>27</v>
      </c>
      <c r="N124" s="24">
        <v>45382</v>
      </c>
      <c r="O124" t="s">
        <v>62</v>
      </c>
      <c r="P124" s="24">
        <v>45427</v>
      </c>
      <c r="Q124" t="s">
        <v>486</v>
      </c>
      <c r="R124" t="s">
        <v>197</v>
      </c>
      <c r="S124" s="11" t="s">
        <v>658</v>
      </c>
      <c r="T124" s="11" t="s">
        <v>908</v>
      </c>
      <c r="U124" t="s">
        <v>28</v>
      </c>
      <c r="V124" s="11" t="s">
        <v>643</v>
      </c>
      <c r="W124" s="5" t="s">
        <v>642</v>
      </c>
      <c r="X124" s="5" t="s">
        <v>644</v>
      </c>
      <c r="Y124" t="s">
        <v>28</v>
      </c>
      <c r="Z124">
        <v>227.24</v>
      </c>
      <c r="AA124">
        <f>IF(MainImport[[#This Row],[E/I]]="Import", MONTH(MainImport[[#This Row],[ETA]]), MONTH(MainImport[[#This Row],[ETD]]))</f>
        <v>5</v>
      </c>
      <c r="AB124">
        <f>IF(MainImport[[#This Row],[E/I]]="Import", YEAR(MainImport[[#This Row],[ETA]]), YEAR(MainImport[[#This Row],[ETD]]))</f>
        <v>2024</v>
      </c>
    </row>
    <row r="125" spans="1:28" ht="18" customHeight="1" x14ac:dyDescent="0.3">
      <c r="A125" t="s">
        <v>459</v>
      </c>
      <c r="B125" t="s">
        <v>25</v>
      </c>
      <c r="C125" t="s">
        <v>938</v>
      </c>
      <c r="D125" t="s">
        <v>460</v>
      </c>
      <c r="E125" t="s">
        <v>28</v>
      </c>
      <c r="F125" t="s">
        <v>40</v>
      </c>
      <c r="G125" t="s">
        <v>29</v>
      </c>
      <c r="H125" s="28">
        <v>6</v>
      </c>
      <c r="I125" t="s">
        <v>83</v>
      </c>
      <c r="J125" s="6">
        <v>6052</v>
      </c>
      <c r="K125" s="6">
        <v>14.851000000000001</v>
      </c>
      <c r="L125" s="9" t="s">
        <v>632</v>
      </c>
      <c r="M125" t="s">
        <v>27</v>
      </c>
      <c r="N125" s="24">
        <v>45363</v>
      </c>
      <c r="O125" t="s">
        <v>109</v>
      </c>
      <c r="P125" s="24">
        <v>45427</v>
      </c>
      <c r="Q125" t="s">
        <v>43</v>
      </c>
      <c r="R125" t="s">
        <v>44</v>
      </c>
      <c r="S125" s="11" t="s">
        <v>478</v>
      </c>
      <c r="T125" t="s">
        <v>28</v>
      </c>
      <c r="U125" s="11" t="s">
        <v>458</v>
      </c>
      <c r="V125" t="s">
        <v>28</v>
      </c>
      <c r="W125" s="5" t="s">
        <v>482</v>
      </c>
      <c r="X125" s="8" t="s">
        <v>483</v>
      </c>
      <c r="Y125" t="s">
        <v>28</v>
      </c>
      <c r="Z125">
        <v>2806.63</v>
      </c>
      <c r="AA125">
        <f>IF(MainImport[[#This Row],[E/I]]="Import", MONTH(MainImport[[#This Row],[ETA]]), MONTH(MainImport[[#This Row],[ETD]]))</f>
        <v>5</v>
      </c>
      <c r="AB125">
        <f>IF(MainImport[[#This Row],[E/I]]="Import", YEAR(MainImport[[#This Row],[ETA]]), YEAR(MainImport[[#This Row],[ETD]]))</f>
        <v>2024</v>
      </c>
    </row>
    <row r="126" spans="1:28" ht="17.399999999999999" customHeight="1" x14ac:dyDescent="0.3">
      <c r="A126" t="s">
        <v>456</v>
      </c>
      <c r="B126" t="s">
        <v>25</v>
      </c>
      <c r="C126" t="s">
        <v>919</v>
      </c>
      <c r="D126" t="s">
        <v>773</v>
      </c>
      <c r="E126" t="s">
        <v>28</v>
      </c>
      <c r="F126" t="s">
        <v>63</v>
      </c>
      <c r="G126" t="s">
        <v>26</v>
      </c>
      <c r="H126" s="28">
        <v>1</v>
      </c>
      <c r="I126" t="s">
        <v>90</v>
      </c>
      <c r="J126" s="6">
        <v>2203.89</v>
      </c>
      <c r="K126" s="6" t="s">
        <v>28</v>
      </c>
      <c r="L126" s="9" t="s">
        <v>821</v>
      </c>
      <c r="M126" t="s">
        <v>27</v>
      </c>
      <c r="N126" s="24">
        <v>45388</v>
      </c>
      <c r="O126" t="s">
        <v>62</v>
      </c>
      <c r="P126" s="24">
        <v>45429</v>
      </c>
      <c r="Q126" t="s">
        <v>43</v>
      </c>
      <c r="R126" t="s">
        <v>28</v>
      </c>
      <c r="S126" t="s">
        <v>28</v>
      </c>
      <c r="T126" t="s">
        <v>28</v>
      </c>
      <c r="U126" t="s">
        <v>28</v>
      </c>
      <c r="V126" t="s">
        <v>28</v>
      </c>
      <c r="W126" s="5" t="s">
        <v>747</v>
      </c>
      <c r="X126" s="5" t="s">
        <v>746</v>
      </c>
      <c r="Y126" t="s">
        <v>28</v>
      </c>
      <c r="Z126">
        <v>5514.22</v>
      </c>
      <c r="AA126">
        <f>IF(MainImport[[#This Row],[E/I]]="Import", MONTH(MainImport[[#This Row],[ETA]]), MONTH(MainImport[[#This Row],[ETD]]))</f>
        <v>5</v>
      </c>
      <c r="AB126">
        <f>IF(MainImport[[#This Row],[E/I]]="Import", YEAR(MainImport[[#This Row],[ETA]]), YEAR(MainImport[[#This Row],[ETD]]))</f>
        <v>2024</v>
      </c>
    </row>
    <row r="127" spans="1:28" ht="17.399999999999999" customHeight="1" x14ac:dyDescent="0.3">
      <c r="A127" t="s">
        <v>616</v>
      </c>
      <c r="B127" t="s">
        <v>25</v>
      </c>
      <c r="C127" t="s">
        <v>955</v>
      </c>
      <c r="D127" t="s">
        <v>732</v>
      </c>
      <c r="E127" t="s">
        <v>28</v>
      </c>
      <c r="F127" t="s">
        <v>40</v>
      </c>
      <c r="G127" t="s">
        <v>26</v>
      </c>
      <c r="H127" s="28">
        <v>1</v>
      </c>
      <c r="I127" t="s">
        <v>90</v>
      </c>
      <c r="J127" s="6">
        <v>7500</v>
      </c>
      <c r="K127" s="6">
        <v>1</v>
      </c>
      <c r="L127" s="9" t="s">
        <v>818</v>
      </c>
      <c r="M127" t="s">
        <v>27</v>
      </c>
      <c r="N127" s="24">
        <v>45390</v>
      </c>
      <c r="O127" t="s">
        <v>603</v>
      </c>
      <c r="P127" s="24">
        <v>45429</v>
      </c>
      <c r="Q127" t="s">
        <v>43</v>
      </c>
      <c r="R127" t="s">
        <v>144</v>
      </c>
      <c r="S127" t="s">
        <v>733</v>
      </c>
      <c r="T127" t="s">
        <v>734</v>
      </c>
      <c r="U127" s="11" t="s">
        <v>735</v>
      </c>
      <c r="V127" t="s">
        <v>28</v>
      </c>
      <c r="W127" s="5" t="s">
        <v>605</v>
      </c>
      <c r="X127" s="8" t="s">
        <v>604</v>
      </c>
      <c r="Y127" t="s">
        <v>28</v>
      </c>
      <c r="Z127">
        <v>1618.44</v>
      </c>
      <c r="AA127">
        <f>IF(MainImport[[#This Row],[E/I]]="Import", MONTH(MainImport[[#This Row],[ETA]]), MONTH(MainImport[[#This Row],[ETD]]))</f>
        <v>5</v>
      </c>
      <c r="AB127">
        <f>IF(MainImport[[#This Row],[E/I]]="Import", YEAR(MainImport[[#This Row],[ETA]]), YEAR(MainImport[[#This Row],[ETD]]))</f>
        <v>2024</v>
      </c>
    </row>
    <row r="128" spans="1:28" ht="18" customHeight="1" x14ac:dyDescent="0.3">
      <c r="A128" t="s">
        <v>434</v>
      </c>
      <c r="B128" t="s">
        <v>25</v>
      </c>
      <c r="C128" t="s">
        <v>912</v>
      </c>
      <c r="D128" t="s">
        <v>774</v>
      </c>
      <c r="E128" t="s">
        <v>28</v>
      </c>
      <c r="F128" t="s">
        <v>701</v>
      </c>
      <c r="G128" t="s">
        <v>26</v>
      </c>
      <c r="H128" s="28">
        <v>1</v>
      </c>
      <c r="I128" t="s">
        <v>41</v>
      </c>
      <c r="J128" s="6" t="s">
        <v>28</v>
      </c>
      <c r="K128" s="6">
        <v>2</v>
      </c>
      <c r="L128" s="9" t="s">
        <v>28</v>
      </c>
      <c r="M128" t="s">
        <v>27</v>
      </c>
      <c r="N128" s="24">
        <v>45389</v>
      </c>
      <c r="O128" t="s">
        <v>42</v>
      </c>
      <c r="P128" s="24">
        <v>45429</v>
      </c>
      <c r="Q128" t="s">
        <v>43</v>
      </c>
      <c r="R128" t="s">
        <v>44</v>
      </c>
      <c r="S128" t="s">
        <v>768</v>
      </c>
      <c r="T128" t="s">
        <v>912</v>
      </c>
      <c r="U128" s="11" t="s">
        <v>769</v>
      </c>
      <c r="V128" t="s">
        <v>28</v>
      </c>
      <c r="W128" s="5" t="s">
        <v>770</v>
      </c>
      <c r="X128" s="5" t="s">
        <v>771</v>
      </c>
      <c r="Y128" t="s">
        <v>28</v>
      </c>
      <c r="Z128">
        <v>3742.76</v>
      </c>
      <c r="AA128">
        <f>IF(MainImport[[#This Row],[E/I]]="Import", MONTH(MainImport[[#This Row],[ETA]]), MONTH(MainImport[[#This Row],[ETD]]))</f>
        <v>5</v>
      </c>
      <c r="AB128">
        <f>IF(MainImport[[#This Row],[E/I]]="Import", YEAR(MainImport[[#This Row],[ETA]]), YEAR(MainImport[[#This Row],[ETD]]))</f>
        <v>2024</v>
      </c>
    </row>
    <row r="129" spans="1:28" ht="16.8" customHeight="1" x14ac:dyDescent="0.3">
      <c r="A129" t="s">
        <v>618</v>
      </c>
      <c r="B129" t="s">
        <v>25</v>
      </c>
      <c r="C129" t="s">
        <v>937</v>
      </c>
      <c r="D129" t="s">
        <v>670</v>
      </c>
      <c r="E129" t="s">
        <v>50</v>
      </c>
      <c r="F129" t="s">
        <v>40</v>
      </c>
      <c r="G129" t="s">
        <v>29</v>
      </c>
      <c r="H129" s="28">
        <v>4</v>
      </c>
      <c r="I129" t="s">
        <v>60</v>
      </c>
      <c r="J129" s="6">
        <v>2652</v>
      </c>
      <c r="K129" s="6">
        <v>4.8639999999999999</v>
      </c>
      <c r="L129" s="9" t="s">
        <v>28</v>
      </c>
      <c r="M129" t="s">
        <v>27</v>
      </c>
      <c r="N129" s="24">
        <v>45385</v>
      </c>
      <c r="O129" t="s">
        <v>62</v>
      </c>
      <c r="P129" s="24">
        <v>45431</v>
      </c>
      <c r="Q129" t="s">
        <v>43</v>
      </c>
      <c r="R129" t="s">
        <v>44</v>
      </c>
      <c r="S129" t="s">
        <v>606</v>
      </c>
      <c r="T129" t="s">
        <v>28</v>
      </c>
      <c r="U129" t="s">
        <v>28</v>
      </c>
      <c r="V129" s="5" t="s">
        <v>608</v>
      </c>
      <c r="W129" s="5" t="s">
        <v>609</v>
      </c>
      <c r="X129" s="8" t="s">
        <v>607</v>
      </c>
      <c r="Y129" t="s">
        <v>28</v>
      </c>
      <c r="Z129">
        <v>449.48</v>
      </c>
      <c r="AA129">
        <f>IF(MainImport[[#This Row],[E/I]]="Import", MONTH(MainImport[[#This Row],[ETA]]), MONTH(MainImport[[#This Row],[ETD]]))</f>
        <v>5</v>
      </c>
      <c r="AB129">
        <f>IF(MainImport[[#This Row],[E/I]]="Import", YEAR(MainImport[[#This Row],[ETA]]), YEAR(MainImport[[#This Row],[ETD]]))</f>
        <v>2024</v>
      </c>
    </row>
    <row r="130" spans="1:28" ht="16.8" customHeight="1" x14ac:dyDescent="0.3">
      <c r="A130" t="s">
        <v>517</v>
      </c>
      <c r="B130" t="s">
        <v>25</v>
      </c>
      <c r="C130" t="s">
        <v>955</v>
      </c>
      <c r="D130" t="s">
        <v>516</v>
      </c>
      <c r="E130" t="s">
        <v>28</v>
      </c>
      <c r="F130" t="s">
        <v>40</v>
      </c>
      <c r="G130" t="s">
        <v>26</v>
      </c>
      <c r="H130" s="28">
        <v>1</v>
      </c>
      <c r="I130" t="s">
        <v>41</v>
      </c>
      <c r="J130" s="6">
        <v>8400</v>
      </c>
      <c r="K130" s="6">
        <v>2</v>
      </c>
      <c r="L130" s="9" t="s">
        <v>667</v>
      </c>
      <c r="M130" t="s">
        <v>27</v>
      </c>
      <c r="N130" s="24">
        <v>45383</v>
      </c>
      <c r="O130" t="s">
        <v>89</v>
      </c>
      <c r="P130" s="24">
        <v>45436</v>
      </c>
      <c r="Q130" t="s">
        <v>43</v>
      </c>
      <c r="R130" t="s">
        <v>144</v>
      </c>
      <c r="S130" t="s">
        <v>515</v>
      </c>
      <c r="T130" t="s">
        <v>28</v>
      </c>
      <c r="U130" t="s">
        <v>28</v>
      </c>
      <c r="V130" t="s">
        <v>28</v>
      </c>
      <c r="W130" s="5" t="s">
        <v>506</v>
      </c>
      <c r="X130" s="8" t="s">
        <v>514</v>
      </c>
      <c r="Y130" t="s">
        <v>28</v>
      </c>
      <c r="Z130">
        <v>2816.1</v>
      </c>
      <c r="AA130">
        <f>IF(MainImport[[#This Row],[E/I]]="Import", MONTH(MainImport[[#This Row],[ETA]]), MONTH(MainImport[[#This Row],[ETD]]))</f>
        <v>5</v>
      </c>
      <c r="AB130">
        <f>IF(MainImport[[#This Row],[E/I]]="Import", YEAR(MainImport[[#This Row],[ETA]]), YEAR(MainImport[[#This Row],[ETD]]))</f>
        <v>2024</v>
      </c>
    </row>
    <row r="131" spans="1:28" ht="17.399999999999999" customHeight="1" x14ac:dyDescent="0.3">
      <c r="A131" t="s">
        <v>744</v>
      </c>
      <c r="B131" t="s">
        <v>25</v>
      </c>
      <c r="C131" t="s">
        <v>951</v>
      </c>
      <c r="D131" t="s">
        <v>741</v>
      </c>
      <c r="E131" t="s">
        <v>28</v>
      </c>
      <c r="F131" t="s">
        <v>40</v>
      </c>
      <c r="G131" t="s">
        <v>26</v>
      </c>
      <c r="H131" s="28">
        <v>1</v>
      </c>
      <c r="I131" t="s">
        <v>90</v>
      </c>
      <c r="J131" s="6">
        <v>11654.32</v>
      </c>
      <c r="K131" s="6">
        <v>1</v>
      </c>
      <c r="L131" s="9" t="s">
        <v>757</v>
      </c>
      <c r="M131" t="s">
        <v>27</v>
      </c>
      <c r="N131" s="24">
        <v>45386</v>
      </c>
      <c r="O131" t="s">
        <v>53</v>
      </c>
      <c r="P131" s="24">
        <v>45436</v>
      </c>
      <c r="Q131" t="s">
        <v>43</v>
      </c>
      <c r="R131" t="s">
        <v>93</v>
      </c>
      <c r="S131" t="s">
        <v>28</v>
      </c>
      <c r="T131" t="s">
        <v>28</v>
      </c>
      <c r="U131" s="5" t="s">
        <v>742</v>
      </c>
      <c r="V131" t="s">
        <v>28</v>
      </c>
      <c r="W131" s="5" t="s">
        <v>805</v>
      </c>
      <c r="X131" s="8" t="s">
        <v>743</v>
      </c>
      <c r="Y131" t="s">
        <v>836</v>
      </c>
      <c r="Z131">
        <v>3188.74</v>
      </c>
      <c r="AA131">
        <f>IF(MainImport[[#This Row],[E/I]]="Import", MONTH(MainImport[[#This Row],[ETA]]), MONTH(MainImport[[#This Row],[ETD]]))</f>
        <v>5</v>
      </c>
      <c r="AB131">
        <f>IF(MainImport[[#This Row],[E/I]]="Import", YEAR(MainImport[[#This Row],[ETA]]), YEAR(MainImport[[#This Row],[ETD]]))</f>
        <v>2024</v>
      </c>
    </row>
    <row r="132" spans="1:28" ht="17.399999999999999" customHeight="1" x14ac:dyDescent="0.3">
      <c r="A132" t="s">
        <v>676</v>
      </c>
      <c r="B132" t="s">
        <v>25</v>
      </c>
      <c r="C132" t="s">
        <v>652</v>
      </c>
      <c r="D132" t="s">
        <v>690</v>
      </c>
      <c r="E132" t="s">
        <v>28</v>
      </c>
      <c r="F132" t="s">
        <v>40</v>
      </c>
      <c r="G132" t="s">
        <v>26</v>
      </c>
      <c r="H132" s="28">
        <v>1</v>
      </c>
      <c r="I132" t="s">
        <v>41</v>
      </c>
      <c r="J132" s="6" t="s">
        <v>28</v>
      </c>
      <c r="K132" s="6">
        <v>2</v>
      </c>
      <c r="L132" s="9" t="s">
        <v>767</v>
      </c>
      <c r="M132" t="s">
        <v>27</v>
      </c>
      <c r="N132" s="24">
        <v>45381</v>
      </c>
      <c r="O132" t="s">
        <v>99</v>
      </c>
      <c r="P132" s="24">
        <v>45436</v>
      </c>
      <c r="Q132" t="s">
        <v>43</v>
      </c>
      <c r="R132" t="s">
        <v>750</v>
      </c>
      <c r="S132" s="8" t="s">
        <v>653</v>
      </c>
      <c r="T132" s="8" t="s">
        <v>654</v>
      </c>
      <c r="U132" s="11" t="s">
        <v>655</v>
      </c>
      <c r="V132" t="s">
        <v>28</v>
      </c>
      <c r="W132" s="5" t="s">
        <v>803</v>
      </c>
      <c r="X132" s="8" t="s">
        <v>28</v>
      </c>
      <c r="Y132" t="s">
        <v>804</v>
      </c>
      <c r="Z132">
        <v>1106.3599999999999</v>
      </c>
      <c r="AA132">
        <f>IF(MainImport[[#This Row],[E/I]]="Import", MONTH(MainImport[[#This Row],[ETA]]), MONTH(MainImport[[#This Row],[ETD]]))</f>
        <v>5</v>
      </c>
      <c r="AB132">
        <f>IF(MainImport[[#This Row],[E/I]]="Import", YEAR(MainImport[[#This Row],[ETA]]), YEAR(MainImport[[#This Row],[ETD]]))</f>
        <v>2024</v>
      </c>
    </row>
    <row r="133" spans="1:28" ht="16.8" customHeight="1" x14ac:dyDescent="0.3">
      <c r="A133" t="s">
        <v>495</v>
      </c>
      <c r="B133" t="s">
        <v>25</v>
      </c>
      <c r="C133" t="s">
        <v>949</v>
      </c>
      <c r="D133" t="s">
        <v>489</v>
      </c>
      <c r="E133" t="s">
        <v>39</v>
      </c>
      <c r="F133" t="s">
        <v>63</v>
      </c>
      <c r="G133" t="s">
        <v>26</v>
      </c>
      <c r="H133" s="28">
        <v>1</v>
      </c>
      <c r="I133" t="s">
        <v>41</v>
      </c>
      <c r="J133" s="6">
        <v>12710</v>
      </c>
      <c r="K133" s="6">
        <v>2</v>
      </c>
      <c r="L133" s="9" t="s">
        <v>668</v>
      </c>
      <c r="M133" t="s">
        <v>27</v>
      </c>
      <c r="N133" s="24">
        <v>45374</v>
      </c>
      <c r="O133" t="s">
        <v>99</v>
      </c>
      <c r="P133" s="24">
        <v>45439</v>
      </c>
      <c r="Q133" t="s">
        <v>43</v>
      </c>
      <c r="R133" t="s">
        <v>382</v>
      </c>
      <c r="S133" t="s">
        <v>28</v>
      </c>
      <c r="T133" t="s">
        <v>28</v>
      </c>
      <c r="U133" t="s">
        <v>28</v>
      </c>
      <c r="V133" t="s">
        <v>28</v>
      </c>
      <c r="W133" s="5" t="s">
        <v>491</v>
      </c>
      <c r="X133" s="8" t="s">
        <v>525</v>
      </c>
      <c r="Y133" t="s">
        <v>28</v>
      </c>
      <c r="Z133">
        <v>4857.16</v>
      </c>
      <c r="AA133">
        <f>IF(MainImport[[#This Row],[E/I]]="Import", MONTH(MainImport[[#This Row],[ETA]]), MONTH(MainImport[[#This Row],[ETD]]))</f>
        <v>5</v>
      </c>
      <c r="AB133">
        <f>IF(MainImport[[#This Row],[E/I]]="Import", YEAR(MainImport[[#This Row],[ETA]]), YEAR(MainImport[[#This Row],[ETD]]))</f>
        <v>2024</v>
      </c>
    </row>
    <row r="134" spans="1:28" ht="18" customHeight="1" x14ac:dyDescent="0.3">
      <c r="A134" t="s">
        <v>484</v>
      </c>
      <c r="B134" t="s">
        <v>25</v>
      </c>
      <c r="C134" t="s">
        <v>938</v>
      </c>
      <c r="D134" t="s">
        <v>575</v>
      </c>
      <c r="E134" t="s">
        <v>28</v>
      </c>
      <c r="F134" t="s">
        <v>40</v>
      </c>
      <c r="G134" t="s">
        <v>29</v>
      </c>
      <c r="H134" s="28">
        <v>3</v>
      </c>
      <c r="I134" t="s">
        <v>83</v>
      </c>
      <c r="J134" s="6">
        <v>2688</v>
      </c>
      <c r="K134" s="6">
        <v>6.7080000000000002</v>
      </c>
      <c r="L134" s="9" t="s">
        <v>28</v>
      </c>
      <c r="M134" t="s">
        <v>27</v>
      </c>
      <c r="N134" s="24">
        <v>45379</v>
      </c>
      <c r="O134" t="s">
        <v>109</v>
      </c>
      <c r="P134" s="24">
        <v>45441</v>
      </c>
      <c r="Q134" t="s">
        <v>43</v>
      </c>
      <c r="R134" t="s">
        <v>44</v>
      </c>
      <c r="S134" s="5" t="s">
        <v>478</v>
      </c>
      <c r="T134" t="s">
        <v>28</v>
      </c>
      <c r="U134" t="s">
        <v>28</v>
      </c>
      <c r="V134" t="s">
        <v>28</v>
      </c>
      <c r="W134" s="8" t="s">
        <v>28</v>
      </c>
      <c r="X134" s="8" t="s">
        <v>28</v>
      </c>
      <c r="Y134" t="s">
        <v>28</v>
      </c>
      <c r="Z134">
        <v>1277.3399999999999</v>
      </c>
      <c r="AA134">
        <f>IF(MainImport[[#This Row],[E/I]]="Import", MONTH(MainImport[[#This Row],[ETA]]), MONTH(MainImport[[#This Row],[ETD]]))</f>
        <v>5</v>
      </c>
      <c r="AB134">
        <f>IF(MainImport[[#This Row],[E/I]]="Import", YEAR(MainImport[[#This Row],[ETA]]), YEAR(MainImport[[#This Row],[ETD]]))</f>
        <v>2024</v>
      </c>
    </row>
    <row r="135" spans="1:28" ht="16.8" customHeight="1" x14ac:dyDescent="0.3">
      <c r="A135" t="s">
        <v>674</v>
      </c>
      <c r="B135" t="s">
        <v>25</v>
      </c>
      <c r="C135" t="s">
        <v>938</v>
      </c>
      <c r="D135" s="4" t="s">
        <v>692</v>
      </c>
      <c r="E135" t="s">
        <v>28</v>
      </c>
      <c r="F135" t="s">
        <v>40</v>
      </c>
      <c r="G135" t="s">
        <v>29</v>
      </c>
      <c r="H135" s="28">
        <v>5</v>
      </c>
      <c r="I135" t="s">
        <v>83</v>
      </c>
      <c r="J135" s="6">
        <v>5059</v>
      </c>
      <c r="K135" s="6">
        <v>12.775</v>
      </c>
      <c r="L135" s="9" t="s">
        <v>789</v>
      </c>
      <c r="M135" t="s">
        <v>27</v>
      </c>
      <c r="N135" s="24">
        <v>45388</v>
      </c>
      <c r="O135" t="s">
        <v>109</v>
      </c>
      <c r="P135" s="24">
        <v>45453</v>
      </c>
      <c r="Q135" t="s">
        <v>43</v>
      </c>
      <c r="R135" t="s">
        <v>44</v>
      </c>
      <c r="S135" s="5" t="s">
        <v>478</v>
      </c>
      <c r="T135" t="s">
        <v>28</v>
      </c>
      <c r="U135" t="s">
        <v>28</v>
      </c>
      <c r="V135" t="s">
        <v>28</v>
      </c>
      <c r="W135" s="5" t="s">
        <v>687</v>
      </c>
      <c r="X135" s="8" t="s">
        <v>28</v>
      </c>
      <c r="Y135" t="s">
        <v>28</v>
      </c>
      <c r="Z135">
        <v>2200.46</v>
      </c>
      <c r="AA135">
        <f>IF(MainImport[[#This Row],[E/I]]="Import", MONTH(MainImport[[#This Row],[ETA]]), MONTH(MainImport[[#This Row],[ETD]]))</f>
        <v>6</v>
      </c>
      <c r="AB135">
        <f>IF(MainImport[[#This Row],[E/I]]="Import", YEAR(MainImport[[#This Row],[ETA]]), YEAR(MainImport[[#This Row],[ETD]]))</f>
        <v>2024</v>
      </c>
    </row>
    <row r="136" spans="1:28" ht="16.2" customHeight="1" x14ac:dyDescent="0.3">
      <c r="A136" t="s">
        <v>809</v>
      </c>
      <c r="B136" t="s">
        <v>25</v>
      </c>
      <c r="C136" t="s">
        <v>919</v>
      </c>
      <c r="D136" t="s">
        <v>825</v>
      </c>
      <c r="E136" t="s">
        <v>28</v>
      </c>
      <c r="F136" t="s">
        <v>28</v>
      </c>
      <c r="G136" t="s">
        <v>29</v>
      </c>
      <c r="H136" s="28">
        <v>33</v>
      </c>
      <c r="I136" t="s">
        <v>60</v>
      </c>
      <c r="J136" s="6">
        <v>273.10000000000002</v>
      </c>
      <c r="K136" s="6">
        <v>3.2</v>
      </c>
      <c r="L136" s="9" t="s">
        <v>28</v>
      </c>
      <c r="M136" t="s">
        <v>35</v>
      </c>
      <c r="N136" s="24">
        <v>45398</v>
      </c>
      <c r="O136" t="s">
        <v>62</v>
      </c>
      <c r="P136" s="24">
        <v>45433</v>
      </c>
      <c r="Q136" t="s">
        <v>43</v>
      </c>
      <c r="R136" s="20" t="s">
        <v>886</v>
      </c>
      <c r="S136" t="s">
        <v>807</v>
      </c>
      <c r="T136" t="s">
        <v>920</v>
      </c>
      <c r="U136" t="s">
        <v>28</v>
      </c>
      <c r="V136" s="11" t="s">
        <v>643</v>
      </c>
      <c r="W136" s="5" t="s">
        <v>786</v>
      </c>
      <c r="X136" s="8" t="s">
        <v>808</v>
      </c>
      <c r="Y136" t="s">
        <v>28</v>
      </c>
      <c r="Z136">
        <v>1001.72</v>
      </c>
      <c r="AA136">
        <f>IF(MainImport[[#This Row],[E/I]]="Import", MONTH(MainImport[[#This Row],[ETA]]), MONTH(MainImport[[#This Row],[ETD]]))</f>
        <v>5</v>
      </c>
      <c r="AB136">
        <f>IF(MainImport[[#This Row],[E/I]]="Import", YEAR(MainImport[[#This Row],[ETA]]), YEAR(MainImport[[#This Row],[ETD]]))</f>
        <v>2024</v>
      </c>
    </row>
    <row r="137" spans="1:28" ht="17.399999999999999" customHeight="1" x14ac:dyDescent="0.3">
      <c r="A137" t="s">
        <v>848</v>
      </c>
      <c r="B137" t="s">
        <v>25</v>
      </c>
      <c r="C137" t="s">
        <v>906</v>
      </c>
      <c r="D137" t="s">
        <v>833</v>
      </c>
      <c r="E137" t="s">
        <v>28</v>
      </c>
      <c r="F137" t="s">
        <v>63</v>
      </c>
      <c r="G137" t="s">
        <v>29</v>
      </c>
      <c r="H137" s="28">
        <v>30</v>
      </c>
      <c r="I137" t="s">
        <v>51</v>
      </c>
      <c r="J137" s="6">
        <v>345</v>
      </c>
      <c r="K137" s="6">
        <v>1.85</v>
      </c>
      <c r="L137" s="9" t="s">
        <v>28</v>
      </c>
      <c r="M137" t="s">
        <v>35</v>
      </c>
      <c r="N137" s="24">
        <v>45403</v>
      </c>
      <c r="O137" t="s">
        <v>73</v>
      </c>
      <c r="P137" s="24">
        <v>45434</v>
      </c>
      <c r="Q137" t="s">
        <v>43</v>
      </c>
      <c r="R137" t="s">
        <v>197</v>
      </c>
      <c r="S137" t="s">
        <v>841</v>
      </c>
      <c r="T137" t="s">
        <v>908</v>
      </c>
      <c r="U137" t="s">
        <v>28</v>
      </c>
      <c r="V137" t="s">
        <v>28</v>
      </c>
      <c r="W137" s="5" t="s">
        <v>840</v>
      </c>
      <c r="X137" s="5" t="s">
        <v>847</v>
      </c>
      <c r="Y137" t="s">
        <v>28</v>
      </c>
      <c r="Z137">
        <v>281.8</v>
      </c>
      <c r="AA137">
        <f>IF(MainImport[[#This Row],[E/I]]="Import", MONTH(MainImport[[#This Row],[ETA]]), MONTH(MainImport[[#This Row],[ETD]]))</f>
        <v>5</v>
      </c>
      <c r="AB137">
        <f>IF(MainImport[[#This Row],[E/I]]="Import", YEAR(MainImport[[#This Row],[ETA]]), YEAR(MainImport[[#This Row],[ETD]]))</f>
        <v>2024</v>
      </c>
    </row>
    <row r="138" spans="1:28" ht="15.6" customHeight="1" x14ac:dyDescent="0.3">
      <c r="A138" s="11" t="s">
        <v>675</v>
      </c>
      <c r="B138" t="s">
        <v>25</v>
      </c>
      <c r="C138" t="s">
        <v>938</v>
      </c>
      <c r="D138" t="s">
        <v>772</v>
      </c>
      <c r="E138" t="s">
        <v>28</v>
      </c>
      <c r="F138" t="s">
        <v>40</v>
      </c>
      <c r="G138" t="s">
        <v>29</v>
      </c>
      <c r="H138" s="28">
        <v>3</v>
      </c>
      <c r="I138" t="s">
        <v>83</v>
      </c>
      <c r="J138" s="6">
        <v>2588.67</v>
      </c>
      <c r="K138" s="6">
        <v>4.8099999999999996</v>
      </c>
      <c r="L138" s="9" t="s">
        <v>891</v>
      </c>
      <c r="M138" t="s">
        <v>27</v>
      </c>
      <c r="N138" s="24">
        <v>45394</v>
      </c>
      <c r="O138" t="s">
        <v>628</v>
      </c>
      <c r="P138" s="24">
        <v>45449</v>
      </c>
      <c r="Q138" t="s">
        <v>486</v>
      </c>
      <c r="R138" t="s">
        <v>44</v>
      </c>
      <c r="S138" t="s">
        <v>28</v>
      </c>
      <c r="T138" t="s">
        <v>28</v>
      </c>
      <c r="U138" t="s">
        <v>28</v>
      </c>
      <c r="V138" t="s">
        <v>28</v>
      </c>
      <c r="W138" s="5" t="s">
        <v>629</v>
      </c>
      <c r="X138" s="8" t="s">
        <v>630</v>
      </c>
      <c r="Y138" t="s">
        <v>28</v>
      </c>
      <c r="Z138">
        <v>1000</v>
      </c>
      <c r="AA138">
        <f>IF(MainImport[[#This Row],[E/I]]="Import", MONTH(MainImport[[#This Row],[ETA]]), MONTH(MainImport[[#This Row],[ETD]]))</f>
        <v>6</v>
      </c>
      <c r="AB138">
        <f>IF(MainImport[[#This Row],[E/I]]="Import", YEAR(MainImport[[#This Row],[ETA]]), YEAR(MainImport[[#This Row],[ETD]]))</f>
        <v>2024</v>
      </c>
    </row>
    <row r="139" spans="1:28" ht="19.2" customHeight="1" x14ac:dyDescent="0.3">
      <c r="A139" t="s">
        <v>758</v>
      </c>
      <c r="B139" t="s">
        <v>25</v>
      </c>
      <c r="C139" t="s">
        <v>915</v>
      </c>
      <c r="D139" t="s">
        <v>749</v>
      </c>
      <c r="E139" t="s">
        <v>28</v>
      </c>
      <c r="F139" t="s">
        <v>28</v>
      </c>
      <c r="G139" t="s">
        <v>29</v>
      </c>
      <c r="H139" s="28">
        <v>42</v>
      </c>
      <c r="I139" t="s">
        <v>51</v>
      </c>
      <c r="J139" s="6">
        <v>790</v>
      </c>
      <c r="K139" s="6">
        <v>1.33</v>
      </c>
      <c r="L139" s="9" t="s">
        <v>28</v>
      </c>
      <c r="M139" t="s">
        <v>27</v>
      </c>
      <c r="N139" s="24">
        <v>45392</v>
      </c>
      <c r="O139" t="s">
        <v>628</v>
      </c>
      <c r="P139" s="24">
        <v>45450</v>
      </c>
      <c r="Q139" t="s">
        <v>712</v>
      </c>
      <c r="R139" t="s">
        <v>44</v>
      </c>
      <c r="S139" t="s">
        <v>28</v>
      </c>
      <c r="T139" t="s">
        <v>28</v>
      </c>
      <c r="U139" t="s">
        <v>28</v>
      </c>
      <c r="V139" t="s">
        <v>28</v>
      </c>
      <c r="W139" s="5" t="s">
        <v>752</v>
      </c>
      <c r="X139" s="8" t="s">
        <v>28</v>
      </c>
      <c r="Y139" t="s">
        <v>28</v>
      </c>
      <c r="Z139">
        <v>1371.5</v>
      </c>
      <c r="AA139">
        <f>IF(MainImport[[#This Row],[E/I]]="Import", MONTH(MainImport[[#This Row],[ETA]]), MONTH(MainImport[[#This Row],[ETD]]))</f>
        <v>6</v>
      </c>
      <c r="AB139">
        <f>IF(MainImport[[#This Row],[E/I]]="Import", YEAR(MainImport[[#This Row],[ETA]]), YEAR(MainImport[[#This Row],[ETD]]))</f>
        <v>2024</v>
      </c>
    </row>
    <row r="140" spans="1:28" ht="16.8" customHeight="1" x14ac:dyDescent="0.3">
      <c r="A140" t="s">
        <v>501</v>
      </c>
      <c r="B140" t="s">
        <v>25</v>
      </c>
      <c r="C140" t="s">
        <v>940</v>
      </c>
      <c r="D140" t="s">
        <v>834</v>
      </c>
      <c r="E140" t="s">
        <v>28</v>
      </c>
      <c r="F140" t="s">
        <v>40</v>
      </c>
      <c r="G140" t="s">
        <v>26</v>
      </c>
      <c r="H140" s="28">
        <v>3</v>
      </c>
      <c r="I140" t="s">
        <v>90</v>
      </c>
      <c r="J140" s="6" t="s">
        <v>28</v>
      </c>
      <c r="K140" s="6">
        <v>3</v>
      </c>
      <c r="L140" s="9" t="s">
        <v>28</v>
      </c>
      <c r="M140" t="s">
        <v>35</v>
      </c>
      <c r="N140" s="24">
        <v>45399</v>
      </c>
      <c r="O140" t="s">
        <v>412</v>
      </c>
      <c r="P140" s="24">
        <v>45441</v>
      </c>
      <c r="Q140" t="s">
        <v>149</v>
      </c>
      <c r="R140" t="s">
        <v>28</v>
      </c>
      <c r="S140" t="s">
        <v>28</v>
      </c>
      <c r="T140" t="s">
        <v>28</v>
      </c>
      <c r="U140" t="s">
        <v>28</v>
      </c>
      <c r="V140" t="s">
        <v>28</v>
      </c>
      <c r="W140" s="8" t="s">
        <v>28</v>
      </c>
      <c r="X140" s="8" t="s">
        <v>28</v>
      </c>
      <c r="Y140" t="s">
        <v>28</v>
      </c>
      <c r="Z140">
        <v>3296.1</v>
      </c>
      <c r="AA140">
        <f>IF(MainImport[[#This Row],[E/I]]="Import", MONTH(MainImport[[#This Row],[ETA]]), MONTH(MainImport[[#This Row],[ETD]]))</f>
        <v>5</v>
      </c>
      <c r="AB140">
        <f>IF(MainImport[[#This Row],[E/I]]="Import", YEAR(MainImport[[#This Row],[ETA]]), YEAR(MainImport[[#This Row],[ETD]]))</f>
        <v>2024</v>
      </c>
    </row>
    <row r="141" spans="1:28" ht="16.2" customHeight="1" x14ac:dyDescent="0.3">
      <c r="A141" t="s">
        <v>708</v>
      </c>
      <c r="B141" t="s">
        <v>25</v>
      </c>
      <c r="C141" t="s">
        <v>952</v>
      </c>
      <c r="D141" t="s">
        <v>814</v>
      </c>
      <c r="E141" t="s">
        <v>815</v>
      </c>
      <c r="F141" t="s">
        <v>40</v>
      </c>
      <c r="G141" t="s">
        <v>26</v>
      </c>
      <c r="H141" s="28">
        <v>2</v>
      </c>
      <c r="I141" t="s">
        <v>90</v>
      </c>
      <c r="J141" s="6" t="s">
        <v>28</v>
      </c>
      <c r="K141" s="6">
        <v>2</v>
      </c>
      <c r="L141" s="9" t="s">
        <v>28</v>
      </c>
      <c r="M141" t="s">
        <v>35</v>
      </c>
      <c r="N141" s="24">
        <v>45407</v>
      </c>
      <c r="O141" t="s">
        <v>53</v>
      </c>
      <c r="P141" s="24">
        <v>45450</v>
      </c>
      <c r="Q141" t="s">
        <v>43</v>
      </c>
      <c r="R141" t="s">
        <v>103</v>
      </c>
      <c r="S141" t="s">
        <v>707</v>
      </c>
      <c r="T141" t="s">
        <v>28</v>
      </c>
      <c r="U141" s="11" t="s">
        <v>764</v>
      </c>
      <c r="V141" t="s">
        <v>28</v>
      </c>
      <c r="W141" s="5" t="s">
        <v>765</v>
      </c>
      <c r="X141" s="8" t="s">
        <v>731</v>
      </c>
      <c r="Y141" t="s">
        <v>28</v>
      </c>
      <c r="Z141">
        <v>2703.92</v>
      </c>
      <c r="AA141">
        <f>IF(MainImport[[#This Row],[E/I]]="Import", MONTH(MainImport[[#This Row],[ETA]]), MONTH(MainImport[[#This Row],[ETD]]))</f>
        <v>6</v>
      </c>
      <c r="AB141">
        <f>IF(MainImport[[#This Row],[E/I]]="Import", YEAR(MainImport[[#This Row],[ETA]]), YEAR(MainImport[[#This Row],[ETD]]))</f>
        <v>2024</v>
      </c>
    </row>
    <row r="142" spans="1:28" ht="18" customHeight="1" x14ac:dyDescent="0.3">
      <c r="A142" t="s">
        <v>792</v>
      </c>
      <c r="B142" t="s">
        <v>25</v>
      </c>
      <c r="C142" t="s">
        <v>968</v>
      </c>
      <c r="D142" t="s">
        <v>817</v>
      </c>
      <c r="E142" t="s">
        <v>815</v>
      </c>
      <c r="F142" t="s">
        <v>40</v>
      </c>
      <c r="G142" t="s">
        <v>26</v>
      </c>
      <c r="H142" s="28">
        <v>1</v>
      </c>
      <c r="I142" t="s">
        <v>90</v>
      </c>
      <c r="J142" s="6">
        <v>8978</v>
      </c>
      <c r="K142" s="6">
        <v>1</v>
      </c>
      <c r="L142" s="9" t="s">
        <v>849</v>
      </c>
      <c r="M142" t="s">
        <v>35</v>
      </c>
      <c r="N142" s="24">
        <v>45406</v>
      </c>
      <c r="O142" t="s">
        <v>53</v>
      </c>
      <c r="P142" s="24">
        <v>45450</v>
      </c>
      <c r="Q142" t="s">
        <v>43</v>
      </c>
      <c r="R142" t="s">
        <v>28</v>
      </c>
      <c r="S142" s="11" t="s">
        <v>777</v>
      </c>
      <c r="T142" t="s">
        <v>776</v>
      </c>
      <c r="U142" s="11" t="s">
        <v>779</v>
      </c>
      <c r="V142" t="s">
        <v>28</v>
      </c>
      <c r="W142" s="5" t="s">
        <v>781</v>
      </c>
      <c r="X142" s="8" t="s">
        <v>780</v>
      </c>
      <c r="Y142" t="s">
        <v>28</v>
      </c>
      <c r="Z142">
        <v>550.34</v>
      </c>
      <c r="AA142">
        <f>IF(MainImport[[#This Row],[E/I]]="Import", MONTH(MainImport[[#This Row],[ETA]]), MONTH(MainImport[[#This Row],[ETD]]))</f>
        <v>6</v>
      </c>
      <c r="AB142">
        <f>IF(MainImport[[#This Row],[E/I]]="Import", YEAR(MainImport[[#This Row],[ETA]]), YEAR(MainImport[[#This Row],[ETD]]))</f>
        <v>2024</v>
      </c>
    </row>
    <row r="143" spans="1:28" ht="17.399999999999999" customHeight="1" x14ac:dyDescent="0.3">
      <c r="A143" t="s">
        <v>802</v>
      </c>
      <c r="B143" t="s">
        <v>25</v>
      </c>
      <c r="C143" t="s">
        <v>947</v>
      </c>
      <c r="D143" t="s">
        <v>800</v>
      </c>
      <c r="E143" t="s">
        <v>28</v>
      </c>
      <c r="F143" t="s">
        <v>28</v>
      </c>
      <c r="G143" t="s">
        <v>29</v>
      </c>
      <c r="H143" s="28">
        <v>6</v>
      </c>
      <c r="I143" t="s">
        <v>83</v>
      </c>
      <c r="J143" s="6">
        <v>2706.68</v>
      </c>
      <c r="K143" s="6">
        <v>3</v>
      </c>
      <c r="L143" s="9" t="s">
        <v>28</v>
      </c>
      <c r="M143" t="s">
        <v>35</v>
      </c>
      <c r="N143" s="24">
        <v>45395</v>
      </c>
      <c r="O143" t="s">
        <v>798</v>
      </c>
      <c r="P143" s="24">
        <v>45448</v>
      </c>
      <c r="Q143" t="s">
        <v>43</v>
      </c>
      <c r="R143" t="s">
        <v>197</v>
      </c>
      <c r="S143" t="s">
        <v>28</v>
      </c>
      <c r="T143" t="s">
        <v>28</v>
      </c>
      <c r="U143" t="s">
        <v>28</v>
      </c>
      <c r="V143" t="s">
        <v>28</v>
      </c>
      <c r="W143" s="5" t="s">
        <v>801</v>
      </c>
      <c r="X143" s="8" t="s">
        <v>799</v>
      </c>
      <c r="Y143" t="s">
        <v>28</v>
      </c>
      <c r="Z143">
        <v>119.92</v>
      </c>
      <c r="AA143">
        <f>IF(MainImport[[#This Row],[E/I]]="Import", MONTH(MainImport[[#This Row],[ETA]]), MONTH(MainImport[[#This Row],[ETD]]))</f>
        <v>6</v>
      </c>
      <c r="AB143">
        <f>IF(MainImport[[#This Row],[E/I]]="Import", YEAR(MainImport[[#This Row],[ETA]]), YEAR(MainImport[[#This Row],[ETD]]))</f>
        <v>2024</v>
      </c>
    </row>
    <row r="144" spans="1:28" ht="19.8" customHeight="1" x14ac:dyDescent="0.3">
      <c r="A144" t="s">
        <v>492</v>
      </c>
      <c r="B144" t="s">
        <v>25</v>
      </c>
      <c r="C144" t="s">
        <v>922</v>
      </c>
      <c r="D144" t="s">
        <v>925</v>
      </c>
      <c r="E144" t="s">
        <v>28</v>
      </c>
      <c r="F144" t="s">
        <v>40</v>
      </c>
      <c r="G144" t="s">
        <v>26</v>
      </c>
      <c r="H144" s="28">
        <v>1</v>
      </c>
      <c r="I144" t="s">
        <v>41</v>
      </c>
      <c r="J144" s="6" t="s">
        <v>28</v>
      </c>
      <c r="K144" s="6">
        <v>2</v>
      </c>
      <c r="L144" s="9" t="s">
        <v>28</v>
      </c>
      <c r="M144" t="s">
        <v>35</v>
      </c>
      <c r="N144" s="24">
        <v>45396</v>
      </c>
      <c r="O144" t="s">
        <v>89</v>
      </c>
      <c r="P144" s="24">
        <v>45450</v>
      </c>
      <c r="Q144" t="s">
        <v>43</v>
      </c>
      <c r="R144" t="s">
        <v>730</v>
      </c>
      <c r="S144" s="11" t="s">
        <v>494</v>
      </c>
      <c r="T144" t="s">
        <v>923</v>
      </c>
      <c r="U144" s="11" t="s">
        <v>736</v>
      </c>
      <c r="V144" t="s">
        <v>28</v>
      </c>
      <c r="W144" s="5" t="s">
        <v>493</v>
      </c>
      <c r="X144" s="8" t="s">
        <v>280</v>
      </c>
      <c r="Y144" t="s">
        <v>28</v>
      </c>
      <c r="Z144">
        <v>2767.34</v>
      </c>
      <c r="AA144">
        <f>IF(MainImport[[#This Row],[E/I]]="Import", MONTH(MainImport[[#This Row],[ETA]]), MONTH(MainImport[[#This Row],[ETD]]))</f>
        <v>6</v>
      </c>
      <c r="AB144">
        <f>IF(MainImport[[#This Row],[E/I]]="Import", YEAR(MainImport[[#This Row],[ETA]]), YEAR(MainImport[[#This Row],[ETD]]))</f>
        <v>2024</v>
      </c>
    </row>
    <row r="145" spans="1:28" ht="15.6" customHeight="1" x14ac:dyDescent="0.3">
      <c r="A145" t="s">
        <v>681</v>
      </c>
      <c r="B145" t="s">
        <v>25</v>
      </c>
      <c r="C145" t="s">
        <v>952</v>
      </c>
      <c r="D145" t="s">
        <v>826</v>
      </c>
      <c r="E145" t="s">
        <v>28</v>
      </c>
      <c r="F145" t="s">
        <v>40</v>
      </c>
      <c r="G145" t="s">
        <v>26</v>
      </c>
      <c r="H145" s="28">
        <v>1</v>
      </c>
      <c r="I145" t="s">
        <v>90</v>
      </c>
      <c r="J145" s="6">
        <v>14750</v>
      </c>
      <c r="K145" s="6">
        <v>1</v>
      </c>
      <c r="L145" s="9" t="s">
        <v>28</v>
      </c>
      <c r="M145" t="s">
        <v>35</v>
      </c>
      <c r="N145" s="24">
        <v>45405</v>
      </c>
      <c r="O145" t="s">
        <v>89</v>
      </c>
      <c r="P145" s="24">
        <v>45450</v>
      </c>
      <c r="Q145" t="s">
        <v>43</v>
      </c>
      <c r="R145" t="s">
        <v>103</v>
      </c>
      <c r="S145" t="s">
        <v>28</v>
      </c>
      <c r="T145" t="s">
        <v>28</v>
      </c>
      <c r="U145" t="s">
        <v>827</v>
      </c>
      <c r="V145" t="s">
        <v>645</v>
      </c>
      <c r="W145" s="5" t="s">
        <v>646</v>
      </c>
      <c r="X145" s="8" t="s">
        <v>28</v>
      </c>
      <c r="Y145" t="s">
        <v>28</v>
      </c>
      <c r="Z145">
        <v>2070.46</v>
      </c>
      <c r="AA145">
        <f>IF(MainImport[[#This Row],[E/I]]="Import", MONTH(MainImport[[#This Row],[ETA]]), MONTH(MainImport[[#This Row],[ETD]]))</f>
        <v>6</v>
      </c>
      <c r="AB145">
        <f>IF(MainImport[[#This Row],[E/I]]="Import", YEAR(MainImport[[#This Row],[ETA]]), YEAR(MainImport[[#This Row],[ETD]]))</f>
        <v>2024</v>
      </c>
    </row>
    <row r="146" spans="1:28" ht="19.8" customHeight="1" x14ac:dyDescent="0.3">
      <c r="A146" t="s">
        <v>832</v>
      </c>
      <c r="B146" t="s">
        <v>25</v>
      </c>
      <c r="C146" t="s">
        <v>951</v>
      </c>
      <c r="D146" t="s">
        <v>831</v>
      </c>
      <c r="E146" t="s">
        <v>28</v>
      </c>
      <c r="F146" t="s">
        <v>40</v>
      </c>
      <c r="G146" t="s">
        <v>26</v>
      </c>
      <c r="H146" s="28">
        <v>1</v>
      </c>
      <c r="I146" t="s">
        <v>90</v>
      </c>
      <c r="J146" s="6" t="s">
        <v>28</v>
      </c>
      <c r="K146" s="6">
        <v>1</v>
      </c>
      <c r="L146" s="9" t="s">
        <v>28</v>
      </c>
      <c r="M146" t="s">
        <v>35</v>
      </c>
      <c r="N146" s="24">
        <v>45407</v>
      </c>
      <c r="O146" t="s">
        <v>53</v>
      </c>
      <c r="P146" s="24">
        <v>45450</v>
      </c>
      <c r="Q146" t="s">
        <v>43</v>
      </c>
      <c r="R146" t="s">
        <v>93</v>
      </c>
      <c r="S146" t="s">
        <v>829</v>
      </c>
      <c r="T146" t="s">
        <v>960</v>
      </c>
      <c r="U146" s="11" t="s">
        <v>830</v>
      </c>
      <c r="V146" t="s">
        <v>28</v>
      </c>
      <c r="W146" s="8" t="s">
        <v>28</v>
      </c>
      <c r="X146" s="8" t="s">
        <v>28</v>
      </c>
      <c r="Y146" t="s">
        <v>28</v>
      </c>
      <c r="Z146">
        <v>2612.2800000000002</v>
      </c>
      <c r="AA146">
        <f>IF(MainImport[[#This Row],[E/I]]="Import", MONTH(MainImport[[#This Row],[ETA]]), MONTH(MainImport[[#This Row],[ETD]]))</f>
        <v>6</v>
      </c>
      <c r="AB146">
        <f>IF(MainImport[[#This Row],[E/I]]="Import", YEAR(MainImport[[#This Row],[ETA]]), YEAR(MainImport[[#This Row],[ETD]]))</f>
        <v>2024</v>
      </c>
    </row>
    <row r="147" spans="1:28" ht="18.600000000000001" customHeight="1" x14ac:dyDescent="0.3">
      <c r="A147" t="s">
        <v>859</v>
      </c>
      <c r="B147" t="s">
        <v>25</v>
      </c>
      <c r="C147" t="s">
        <v>952</v>
      </c>
      <c r="D147" t="s">
        <v>879</v>
      </c>
      <c r="E147" t="s">
        <v>28</v>
      </c>
      <c r="F147" t="s">
        <v>40</v>
      </c>
      <c r="G147" t="s">
        <v>26</v>
      </c>
      <c r="H147" s="28">
        <v>1</v>
      </c>
      <c r="I147" t="s">
        <v>90</v>
      </c>
      <c r="J147" s="6" t="s">
        <v>28</v>
      </c>
      <c r="K147" s="6">
        <v>1</v>
      </c>
      <c r="L147" s="9" t="s">
        <v>28</v>
      </c>
      <c r="M147" t="s">
        <v>35</v>
      </c>
      <c r="N147" s="24">
        <v>45405</v>
      </c>
      <c r="O147" t="s">
        <v>62</v>
      </c>
      <c r="P147" s="24">
        <v>45450</v>
      </c>
      <c r="Q147" t="s">
        <v>43</v>
      </c>
      <c r="R147" t="s">
        <v>103</v>
      </c>
      <c r="S147" s="11" t="s">
        <v>877</v>
      </c>
      <c r="T147" t="s">
        <v>952</v>
      </c>
      <c r="U147" s="11" t="s">
        <v>878</v>
      </c>
      <c r="V147" t="s">
        <v>645</v>
      </c>
      <c r="W147" s="5" t="s">
        <v>855</v>
      </c>
      <c r="X147" s="8" t="s">
        <v>28</v>
      </c>
      <c r="Y147" t="s">
        <v>28</v>
      </c>
      <c r="Z147">
        <v>828.35</v>
      </c>
      <c r="AA147">
        <f>IF(MainImport[[#This Row],[E/I]]="Import", MONTH(MainImport[[#This Row],[ETA]]), MONTH(MainImport[[#This Row],[ETD]]))</f>
        <v>6</v>
      </c>
      <c r="AB147">
        <f>IF(MainImport[[#This Row],[E/I]]="Import", YEAR(MainImport[[#This Row],[ETA]]), YEAR(MainImport[[#This Row],[ETD]]))</f>
        <v>2024</v>
      </c>
    </row>
    <row r="148" spans="1:28" ht="18.600000000000001" customHeight="1" x14ac:dyDescent="0.3">
      <c r="A148" t="s">
        <v>686</v>
      </c>
      <c r="B148" t="s">
        <v>25</v>
      </c>
      <c r="C148" t="s">
        <v>965</v>
      </c>
      <c r="D148" t="s">
        <v>816</v>
      </c>
      <c r="E148" t="s">
        <v>28</v>
      </c>
      <c r="F148" t="s">
        <v>40</v>
      </c>
      <c r="G148" t="s">
        <v>26</v>
      </c>
      <c r="H148" s="28">
        <v>2</v>
      </c>
      <c r="I148" t="s">
        <v>90</v>
      </c>
      <c r="J148" s="6" t="s">
        <v>28</v>
      </c>
      <c r="K148" s="6">
        <v>2</v>
      </c>
      <c r="L148" s="9" t="s">
        <v>28</v>
      </c>
      <c r="M148" t="s">
        <v>35</v>
      </c>
      <c r="N148" s="24">
        <v>45405</v>
      </c>
      <c r="O148" t="s">
        <v>99</v>
      </c>
      <c r="P148" s="24">
        <v>45457</v>
      </c>
      <c r="Q148" t="s">
        <v>43</v>
      </c>
      <c r="R148" t="s">
        <v>28</v>
      </c>
      <c r="S148" s="11" t="s">
        <v>685</v>
      </c>
      <c r="T148" t="s">
        <v>684</v>
      </c>
      <c r="U148" s="11" t="s">
        <v>795</v>
      </c>
      <c r="V148" t="s">
        <v>28</v>
      </c>
      <c r="W148" s="5" t="s">
        <v>791</v>
      </c>
      <c r="X148" s="8" t="s">
        <v>790</v>
      </c>
      <c r="Y148" t="s">
        <v>28</v>
      </c>
      <c r="Z148">
        <v>1670.91</v>
      </c>
      <c r="AA148">
        <f>IF(MainImport[[#This Row],[E/I]]="Import", MONTH(MainImport[[#This Row],[ETA]]), MONTH(MainImport[[#This Row],[ETD]]))</f>
        <v>6</v>
      </c>
      <c r="AB148">
        <f>IF(MainImport[[#This Row],[E/I]]="Import", YEAR(MainImport[[#This Row],[ETA]]), YEAR(MainImport[[#This Row],[ETD]]))</f>
        <v>2024</v>
      </c>
    </row>
    <row r="149" spans="1:28" ht="19.8" customHeight="1" x14ac:dyDescent="0.3">
      <c r="A149" t="s">
        <v>328</v>
      </c>
      <c r="B149" t="s">
        <v>25</v>
      </c>
      <c r="C149" t="s">
        <v>938</v>
      </c>
      <c r="D149" t="s">
        <v>766</v>
      </c>
      <c r="E149" t="s">
        <v>28</v>
      </c>
      <c r="F149" t="s">
        <v>40</v>
      </c>
      <c r="G149" t="s">
        <v>29</v>
      </c>
      <c r="H149" s="28">
        <v>1</v>
      </c>
      <c r="I149" t="s">
        <v>83</v>
      </c>
      <c r="J149" s="6">
        <v>650</v>
      </c>
      <c r="K149" s="6">
        <v>1.2010000000000001</v>
      </c>
      <c r="L149" s="9" t="s">
        <v>789</v>
      </c>
      <c r="M149" t="s">
        <v>27</v>
      </c>
      <c r="N149" s="24">
        <v>45388</v>
      </c>
      <c r="O149" t="s">
        <v>109</v>
      </c>
      <c r="P149" s="24" t="s">
        <v>28</v>
      </c>
      <c r="Q149" t="s">
        <v>43</v>
      </c>
      <c r="R149" t="s">
        <v>44</v>
      </c>
      <c r="S149" s="11" t="s">
        <v>478</v>
      </c>
      <c r="T149" t="s">
        <v>28</v>
      </c>
      <c r="U149" t="s">
        <v>28</v>
      </c>
      <c r="V149" t="s">
        <v>28</v>
      </c>
      <c r="W149" s="5" t="s">
        <v>344</v>
      </c>
      <c r="X149" s="8" t="s">
        <v>28</v>
      </c>
      <c r="Y149" t="s">
        <v>28</v>
      </c>
      <c r="Z149">
        <v>450</v>
      </c>
      <c r="AA149" t="e">
        <f>IF(MainImport[[#This Row],[E/I]]="Import", MONTH(MainImport[[#This Row],[ETA]]), MONTH(MainImport[[#This Row],[ETD]]))</f>
        <v>#VALUE!</v>
      </c>
      <c r="AB149" t="e">
        <f>IF(MainImport[[#This Row],[E/I]]="Import", YEAR(MainImport[[#This Row],[ETA]]), YEAR(MainImport[[#This Row],[ETD]]))</f>
        <v>#VALUE!</v>
      </c>
    </row>
    <row r="150" spans="1:28" ht="17.399999999999999" customHeight="1" x14ac:dyDescent="0.3">
      <c r="A150" t="s">
        <v>620</v>
      </c>
      <c r="B150" t="s">
        <v>25</v>
      </c>
      <c r="C150" t="s">
        <v>957</v>
      </c>
      <c r="D150" t="s">
        <v>688</v>
      </c>
      <c r="E150" t="s">
        <v>101</v>
      </c>
      <c r="F150" t="s">
        <v>627</v>
      </c>
      <c r="G150" t="s">
        <v>26</v>
      </c>
      <c r="H150" s="28">
        <v>1</v>
      </c>
      <c r="I150" t="s">
        <v>41</v>
      </c>
      <c r="J150" s="6" t="s">
        <v>28</v>
      </c>
      <c r="K150" s="6">
        <v>2</v>
      </c>
      <c r="L150" s="9" t="s">
        <v>28</v>
      </c>
      <c r="M150" t="s">
        <v>35</v>
      </c>
      <c r="N150" s="24">
        <v>45404</v>
      </c>
      <c r="O150" t="s">
        <v>53</v>
      </c>
      <c r="P150" s="24">
        <v>45456</v>
      </c>
      <c r="Q150" t="s">
        <v>398</v>
      </c>
      <c r="R150" t="s">
        <v>144</v>
      </c>
      <c r="S150" t="s">
        <v>621</v>
      </c>
      <c r="T150" t="s">
        <v>622</v>
      </c>
      <c r="U150" s="11" t="s">
        <v>623</v>
      </c>
      <c r="V150" s="11" t="s">
        <v>626</v>
      </c>
      <c r="W150" s="8" t="s">
        <v>624</v>
      </c>
      <c r="X150" s="8" t="s">
        <v>689</v>
      </c>
      <c r="Y150" t="s">
        <v>28</v>
      </c>
      <c r="Z150">
        <v>1483.31</v>
      </c>
      <c r="AA150">
        <f>IF(MainImport[[#This Row],[E/I]]="Import", MONTH(MainImport[[#This Row],[ETA]]), MONTH(MainImport[[#This Row],[ETD]]))</f>
        <v>6</v>
      </c>
      <c r="AB150">
        <f>IF(MainImport[[#This Row],[E/I]]="Import", YEAR(MainImport[[#This Row],[ETA]]), YEAR(MainImport[[#This Row],[ETD]]))</f>
        <v>2024</v>
      </c>
    </row>
    <row r="151" spans="1:28" ht="18" customHeight="1" x14ac:dyDescent="0.3">
      <c r="A151" t="s">
        <v>839</v>
      </c>
      <c r="B151" t="s">
        <v>25</v>
      </c>
      <c r="C151" t="s">
        <v>949</v>
      </c>
      <c r="D151" t="s">
        <v>842</v>
      </c>
      <c r="E151" t="s">
        <v>28</v>
      </c>
      <c r="F151" t="s">
        <v>63</v>
      </c>
      <c r="G151" t="s">
        <v>26</v>
      </c>
      <c r="H151" s="28">
        <v>1</v>
      </c>
      <c r="I151" t="s">
        <v>41</v>
      </c>
      <c r="J151" s="6" t="s">
        <v>28</v>
      </c>
      <c r="K151" s="6">
        <v>2</v>
      </c>
      <c r="L151" s="9" t="s">
        <v>28</v>
      </c>
      <c r="M151" t="s">
        <v>35</v>
      </c>
      <c r="N151" s="24">
        <v>45411</v>
      </c>
      <c r="O151" t="s">
        <v>220</v>
      </c>
      <c r="P151" s="24" t="s">
        <v>28</v>
      </c>
      <c r="Q151" t="s">
        <v>43</v>
      </c>
      <c r="R151" t="s">
        <v>382</v>
      </c>
      <c r="S151" t="s">
        <v>844</v>
      </c>
      <c r="T151" t="s">
        <v>958</v>
      </c>
      <c r="U151" s="11" t="s">
        <v>843</v>
      </c>
      <c r="V151" t="s">
        <v>28</v>
      </c>
      <c r="W151" s="5" t="s">
        <v>846</v>
      </c>
      <c r="X151" s="8" t="s">
        <v>845</v>
      </c>
      <c r="Y151" t="s">
        <v>28</v>
      </c>
      <c r="Z151">
        <v>1914.11</v>
      </c>
      <c r="AA151" t="e">
        <f>IF(MainImport[[#This Row],[E/I]]="Import", MONTH(MainImport[[#This Row],[ETA]]), MONTH(MainImport[[#This Row],[ETD]]))</f>
        <v>#VALUE!</v>
      </c>
      <c r="AB151" t="e">
        <f>IF(MainImport[[#This Row],[E/I]]="Import", YEAR(MainImport[[#This Row],[ETA]]), YEAR(MainImport[[#This Row],[ETD]]))</f>
        <v>#VALUE!</v>
      </c>
    </row>
    <row r="152" spans="1:28" ht="15" customHeight="1" x14ac:dyDescent="0.3">
      <c r="A152" t="s">
        <v>677</v>
      </c>
      <c r="B152" t="s">
        <v>25</v>
      </c>
      <c r="C152" t="s">
        <v>962</v>
      </c>
      <c r="D152" t="s">
        <v>964</v>
      </c>
      <c r="E152" t="s">
        <v>28</v>
      </c>
      <c r="F152" t="s">
        <v>28</v>
      </c>
      <c r="G152" t="s">
        <v>26</v>
      </c>
      <c r="H152" s="28">
        <v>1</v>
      </c>
      <c r="I152" t="s">
        <v>41</v>
      </c>
      <c r="J152" s="6" t="s">
        <v>28</v>
      </c>
      <c r="K152" s="6">
        <v>2</v>
      </c>
      <c r="L152" s="9" t="s">
        <v>28</v>
      </c>
      <c r="M152" t="s">
        <v>35</v>
      </c>
      <c r="N152" s="24">
        <v>45411</v>
      </c>
      <c r="O152" t="s">
        <v>220</v>
      </c>
      <c r="P152" s="24" t="s">
        <v>28</v>
      </c>
      <c r="Q152" t="s">
        <v>486</v>
      </c>
      <c r="R152" t="s">
        <v>541</v>
      </c>
      <c r="S152" s="19" t="s">
        <v>852</v>
      </c>
      <c r="T152" t="s">
        <v>963</v>
      </c>
      <c r="U152" s="11" t="s">
        <v>851</v>
      </c>
      <c r="V152" t="s">
        <v>28</v>
      </c>
      <c r="W152" s="8" t="s">
        <v>28</v>
      </c>
      <c r="X152" s="8" t="s">
        <v>28</v>
      </c>
      <c r="Y152" t="s">
        <v>28</v>
      </c>
      <c r="Z152">
        <v>3382.49</v>
      </c>
      <c r="AA152" t="e">
        <f>IF(MainImport[[#This Row],[E/I]]="Import", MONTH(MainImport[[#This Row],[ETA]]), MONTH(MainImport[[#This Row],[ETD]]))</f>
        <v>#VALUE!</v>
      </c>
      <c r="AB152" t="e">
        <f>IF(MainImport[[#This Row],[E/I]]="Import", YEAR(MainImport[[#This Row],[ETA]]), YEAR(MainImport[[#This Row],[ETD]]))</f>
        <v>#VALUE!</v>
      </c>
    </row>
    <row r="153" spans="1:28" ht="21.6" customHeight="1" x14ac:dyDescent="0.3">
      <c r="A153" t="s">
        <v>858</v>
      </c>
      <c r="B153" t="s">
        <v>25</v>
      </c>
      <c r="C153" t="s">
        <v>934</v>
      </c>
      <c r="D153" t="s">
        <v>856</v>
      </c>
      <c r="E153" t="s">
        <v>28</v>
      </c>
      <c r="F153" t="s">
        <v>40</v>
      </c>
      <c r="G153" t="s">
        <v>29</v>
      </c>
      <c r="H153" s="28" t="s">
        <v>28</v>
      </c>
      <c r="I153">
        <v>5085</v>
      </c>
      <c r="J153" s="6">
        <v>12.66</v>
      </c>
      <c r="K153" s="6" t="s">
        <v>28</v>
      </c>
      <c r="L153" s="9" t="s">
        <v>28</v>
      </c>
      <c r="M153" t="s">
        <v>35</v>
      </c>
      <c r="N153" s="24">
        <v>45412</v>
      </c>
      <c r="O153" t="s">
        <v>53</v>
      </c>
      <c r="P153" t="s">
        <v>28</v>
      </c>
      <c r="Q153" t="s">
        <v>43</v>
      </c>
      <c r="R153" t="s">
        <v>44</v>
      </c>
      <c r="S153" t="s">
        <v>28</v>
      </c>
      <c r="T153" t="s">
        <v>28</v>
      </c>
      <c r="U153" t="s">
        <v>28</v>
      </c>
      <c r="V153" t="s">
        <v>28</v>
      </c>
      <c r="W153" s="5" t="s">
        <v>853</v>
      </c>
      <c r="X153" s="8" t="s">
        <v>857</v>
      </c>
      <c r="Y153" t="s">
        <v>28</v>
      </c>
      <c r="Z153">
        <v>1112.75</v>
      </c>
      <c r="AA153" t="e">
        <f>IF(MainImport[[#This Row],[E/I]]="Import", MONTH(MainImport[[#This Row],[ETA]]), MONTH(MainImport[[#This Row],[ETD]]))</f>
        <v>#VALUE!</v>
      </c>
      <c r="AB153" t="e">
        <f>IF(MainImport[[#This Row],[E/I]]="Import", YEAR(MainImport[[#This Row],[ETA]]), YEAR(MainImport[[#This Row],[ETD]]))</f>
        <v>#VALUE!</v>
      </c>
    </row>
    <row r="154" spans="1:28" ht="17.399999999999999" customHeight="1" x14ac:dyDescent="0.3">
      <c r="A154" t="s">
        <v>28</v>
      </c>
      <c r="B154" t="s">
        <v>25</v>
      </c>
      <c r="C154" t="s">
        <v>939</v>
      </c>
      <c r="D154" t="s">
        <v>943</v>
      </c>
      <c r="E154" t="s">
        <v>28</v>
      </c>
      <c r="F154" t="s">
        <v>63</v>
      </c>
      <c r="G154" t="s">
        <v>26</v>
      </c>
      <c r="H154" s="28">
        <v>1</v>
      </c>
      <c r="I154" t="s">
        <v>41</v>
      </c>
      <c r="J154" s="6" t="s">
        <v>28</v>
      </c>
      <c r="K154" s="6" t="s">
        <v>28</v>
      </c>
      <c r="L154" s="9" t="s">
        <v>28</v>
      </c>
      <c r="M154" t="s">
        <v>33</v>
      </c>
      <c r="N154" s="24" t="s">
        <v>28</v>
      </c>
      <c r="O154" t="s">
        <v>87</v>
      </c>
      <c r="P154" s="24" t="s">
        <v>28</v>
      </c>
      <c r="Q154" t="s">
        <v>194</v>
      </c>
      <c r="R154" t="s">
        <v>469</v>
      </c>
      <c r="S154" t="s">
        <v>28</v>
      </c>
      <c r="T154" t="s">
        <v>28</v>
      </c>
      <c r="U154" t="s">
        <v>28</v>
      </c>
      <c r="V154" t="s">
        <v>28</v>
      </c>
      <c r="W154" s="8" t="s">
        <v>28</v>
      </c>
      <c r="X154" s="5" t="s">
        <v>417</v>
      </c>
      <c r="Y154" t="s">
        <v>28</v>
      </c>
      <c r="Z154" t="s">
        <v>28</v>
      </c>
      <c r="AA154" t="e">
        <f>IF(MainImport[[#This Row],[E/I]]="Import", MONTH(MainImport[[#This Row],[ETA]]), MONTH(MainImport[[#This Row],[ETD]]))</f>
        <v>#VALUE!</v>
      </c>
      <c r="AB154" t="e">
        <f>IF(MainImport[[#This Row],[E/I]]="Import", YEAR(MainImport[[#This Row],[ETA]]), YEAR(MainImport[[#This Row],[ETD]]))</f>
        <v>#VALUE!</v>
      </c>
    </row>
    <row r="155" spans="1:28" ht="16.2" customHeight="1" x14ac:dyDescent="0.3">
      <c r="A155" t="s">
        <v>588</v>
      </c>
      <c r="B155" t="s">
        <v>25</v>
      </c>
      <c r="C155" t="s">
        <v>946</v>
      </c>
      <c r="D155" t="s">
        <v>587</v>
      </c>
      <c r="E155" t="s">
        <v>28</v>
      </c>
      <c r="F155" t="s">
        <v>28</v>
      </c>
      <c r="G155" t="s">
        <v>26</v>
      </c>
      <c r="H155" s="28">
        <v>1</v>
      </c>
      <c r="I155" t="s">
        <v>41</v>
      </c>
      <c r="J155" s="6" t="s">
        <v>28</v>
      </c>
      <c r="K155" s="6" t="s">
        <v>28</v>
      </c>
      <c r="L155" s="9" t="s">
        <v>28</v>
      </c>
      <c r="M155" t="s">
        <v>33</v>
      </c>
      <c r="N155" s="24" t="s">
        <v>28</v>
      </c>
      <c r="O155" t="s">
        <v>28</v>
      </c>
      <c r="P155" s="24" t="s">
        <v>28</v>
      </c>
      <c r="Q155" t="s">
        <v>398</v>
      </c>
      <c r="R155" t="s">
        <v>28</v>
      </c>
      <c r="S155" t="s">
        <v>28</v>
      </c>
      <c r="T155" t="s">
        <v>28</v>
      </c>
      <c r="U155" t="s">
        <v>28</v>
      </c>
      <c r="V155" t="s">
        <v>28</v>
      </c>
      <c r="W155" s="5" t="s">
        <v>28</v>
      </c>
      <c r="X155" s="8" t="s">
        <v>28</v>
      </c>
      <c r="Y155" t="s">
        <v>28</v>
      </c>
      <c r="Z155" t="s">
        <v>28</v>
      </c>
      <c r="AA155" t="e">
        <f>IF(MainImport[[#This Row],[E/I]]="Import", MONTH(MainImport[[#This Row],[ETA]]), MONTH(MainImport[[#This Row],[ETD]]))</f>
        <v>#VALUE!</v>
      </c>
      <c r="AB155" t="e">
        <f>IF(MainImport[[#This Row],[E/I]]="Import", YEAR(MainImport[[#This Row],[ETA]]), YEAR(MainImport[[#This Row],[ETD]]))</f>
        <v>#VALUE!</v>
      </c>
    </row>
    <row r="156" spans="1:28" ht="16.8" customHeight="1" x14ac:dyDescent="0.3">
      <c r="A156" t="s">
        <v>671</v>
      </c>
      <c r="B156" t="s">
        <v>25</v>
      </c>
      <c r="C156" t="s">
        <v>938</v>
      </c>
      <c r="D156" t="s">
        <v>683</v>
      </c>
      <c r="E156" t="s">
        <v>28</v>
      </c>
      <c r="F156" t="s">
        <v>672</v>
      </c>
      <c r="G156" t="s">
        <v>29</v>
      </c>
      <c r="H156" s="28">
        <v>1</v>
      </c>
      <c r="I156" t="s">
        <v>83</v>
      </c>
      <c r="J156" s="6">
        <v>600</v>
      </c>
      <c r="K156" s="6">
        <v>1.887</v>
      </c>
      <c r="L156" s="9" t="s">
        <v>28</v>
      </c>
      <c r="M156" t="s">
        <v>33</v>
      </c>
      <c r="N156" s="24" t="s">
        <v>28</v>
      </c>
      <c r="O156" t="s">
        <v>673</v>
      </c>
      <c r="P156" s="24" t="s">
        <v>28</v>
      </c>
      <c r="Q156" t="s">
        <v>43</v>
      </c>
      <c r="R156" t="s">
        <v>44</v>
      </c>
      <c r="S156" t="s">
        <v>28</v>
      </c>
      <c r="T156" t="s">
        <v>28</v>
      </c>
      <c r="U156" t="s">
        <v>28</v>
      </c>
      <c r="V156" s="11" t="s">
        <v>28</v>
      </c>
      <c r="W156" s="11" t="s">
        <v>810</v>
      </c>
      <c r="X156" s="8" t="s">
        <v>28</v>
      </c>
      <c r="Y156" t="s">
        <v>28</v>
      </c>
      <c r="Z156" t="s">
        <v>28</v>
      </c>
      <c r="AA156" t="e">
        <f>IF(MainImport[[#This Row],[E/I]]="Import", MONTH(MainImport[[#This Row],[ETA]]), MONTH(MainImport[[#This Row],[ETD]]))</f>
        <v>#VALUE!</v>
      </c>
      <c r="AB156" t="e">
        <f>IF(MainImport[[#This Row],[E/I]]="Import", YEAR(MainImport[[#This Row],[ETA]]), YEAR(MainImport[[#This Row],[ETD]]))</f>
        <v>#VALUE!</v>
      </c>
    </row>
    <row r="157" spans="1:28" ht="15.6" customHeight="1" x14ac:dyDescent="0.3">
      <c r="A157" t="s">
        <v>678</v>
      </c>
      <c r="B157" t="s">
        <v>25</v>
      </c>
      <c r="C157" t="s">
        <v>962</v>
      </c>
      <c r="D157" t="s">
        <v>680</v>
      </c>
      <c r="E157" t="s">
        <v>28</v>
      </c>
      <c r="F157" t="s">
        <v>28</v>
      </c>
      <c r="G157" t="s">
        <v>26</v>
      </c>
      <c r="H157" s="28">
        <v>1</v>
      </c>
      <c r="I157" t="s">
        <v>41</v>
      </c>
      <c r="J157" s="6" t="s">
        <v>28</v>
      </c>
      <c r="K157" s="6">
        <v>2</v>
      </c>
      <c r="L157" s="9" t="s">
        <v>28</v>
      </c>
      <c r="M157" t="s">
        <v>33</v>
      </c>
      <c r="N157" s="24" t="s">
        <v>28</v>
      </c>
      <c r="O157" t="s">
        <v>62</v>
      </c>
      <c r="P157" s="24" t="s">
        <v>28</v>
      </c>
      <c r="Q157" t="s">
        <v>43</v>
      </c>
      <c r="R157" t="s">
        <v>541</v>
      </c>
      <c r="S157" s="5" t="s">
        <v>679</v>
      </c>
      <c r="T157" t="s">
        <v>963</v>
      </c>
      <c r="U157" t="s">
        <v>28</v>
      </c>
      <c r="V157" t="s">
        <v>28</v>
      </c>
      <c r="W157" s="8" t="s">
        <v>28</v>
      </c>
      <c r="X157" s="8" t="s">
        <v>28</v>
      </c>
      <c r="Y157" t="s">
        <v>28</v>
      </c>
      <c r="Z157" t="s">
        <v>28</v>
      </c>
      <c r="AA157" t="e">
        <f>IF(MainImport[[#This Row],[E/I]]="Import", MONTH(MainImport[[#This Row],[ETA]]), MONTH(MainImport[[#This Row],[ETD]]))</f>
        <v>#VALUE!</v>
      </c>
      <c r="AB157" t="e">
        <f>IF(MainImport[[#This Row],[E/I]]="Import", YEAR(MainImport[[#This Row],[ETA]]), YEAR(MainImport[[#This Row],[ETD]]))</f>
        <v>#VALUE!</v>
      </c>
    </row>
    <row r="158" spans="1:28" ht="15.6" customHeight="1" x14ac:dyDescent="0.3">
      <c r="A158" t="s">
        <v>721</v>
      </c>
      <c r="B158" t="s">
        <v>25</v>
      </c>
      <c r="C158" t="s">
        <v>907</v>
      </c>
      <c r="D158" t="s">
        <v>28</v>
      </c>
      <c r="E158" t="s">
        <v>28</v>
      </c>
      <c r="F158" t="s">
        <v>28</v>
      </c>
      <c r="G158" t="s">
        <v>26</v>
      </c>
      <c r="H158" s="28">
        <v>1</v>
      </c>
      <c r="I158" t="s">
        <v>90</v>
      </c>
      <c r="J158" s="6" t="s">
        <v>28</v>
      </c>
      <c r="K158" s="6" t="s">
        <v>28</v>
      </c>
      <c r="L158" s="9" t="s">
        <v>28</v>
      </c>
      <c r="M158" t="s">
        <v>33</v>
      </c>
      <c r="N158" s="24" t="s">
        <v>28</v>
      </c>
      <c r="O158" t="s">
        <v>28</v>
      </c>
      <c r="P158" s="24" t="s">
        <v>28</v>
      </c>
      <c r="Q158" t="s">
        <v>43</v>
      </c>
      <c r="R158" t="s">
        <v>28</v>
      </c>
      <c r="S158" t="s">
        <v>28</v>
      </c>
      <c r="T158" t="s">
        <v>28</v>
      </c>
      <c r="U158" t="s">
        <v>28</v>
      </c>
      <c r="V158" t="s">
        <v>28</v>
      </c>
      <c r="W158" s="5" t="s">
        <v>713</v>
      </c>
      <c r="X158" s="8" t="s">
        <v>28</v>
      </c>
      <c r="Y158" t="s">
        <v>28</v>
      </c>
      <c r="Z158" t="s">
        <v>28</v>
      </c>
      <c r="AA158" t="e">
        <f>IF(MainImport[[#This Row],[E/I]]="Import", MONTH(MainImport[[#This Row],[ETA]]), MONTH(MainImport[[#This Row],[ETD]]))</f>
        <v>#VALUE!</v>
      </c>
      <c r="AB158" t="e">
        <f>IF(MainImport[[#This Row],[E/I]]="Import", YEAR(MainImport[[#This Row],[ETA]]), YEAR(MainImport[[#This Row],[ETD]]))</f>
        <v>#VALUE!</v>
      </c>
    </row>
    <row r="159" spans="1:28" ht="15.6" customHeight="1" x14ac:dyDescent="0.3">
      <c r="A159" t="s">
        <v>759</v>
      </c>
      <c r="B159" t="s">
        <v>25</v>
      </c>
      <c r="C159" t="s">
        <v>966</v>
      </c>
      <c r="D159" t="s">
        <v>726</v>
      </c>
      <c r="E159" t="s">
        <v>28</v>
      </c>
      <c r="F159" t="s">
        <v>28</v>
      </c>
      <c r="G159" t="s">
        <v>26</v>
      </c>
      <c r="H159" s="28">
        <v>1</v>
      </c>
      <c r="I159" t="s">
        <v>41</v>
      </c>
      <c r="J159" s="6" t="s">
        <v>28</v>
      </c>
      <c r="K159" s="6">
        <v>2</v>
      </c>
      <c r="L159" s="9" t="s">
        <v>28</v>
      </c>
      <c r="M159" t="s">
        <v>33</v>
      </c>
      <c r="N159" s="24" t="s">
        <v>28</v>
      </c>
      <c r="O159" t="s">
        <v>53</v>
      </c>
      <c r="P159" s="24" t="s">
        <v>28</v>
      </c>
      <c r="Q159" t="s">
        <v>43</v>
      </c>
      <c r="R159" t="s">
        <v>28</v>
      </c>
      <c r="S159" t="s">
        <v>28</v>
      </c>
      <c r="T159" t="s">
        <v>28</v>
      </c>
      <c r="U159" t="s">
        <v>28</v>
      </c>
      <c r="V159" t="s">
        <v>28</v>
      </c>
      <c r="W159" s="8" t="s">
        <v>28</v>
      </c>
      <c r="X159" s="8" t="s">
        <v>28</v>
      </c>
      <c r="Y159" t="s">
        <v>28</v>
      </c>
      <c r="Z159" t="s">
        <v>28</v>
      </c>
      <c r="AA159" t="e">
        <f>IF(MainImport[[#This Row],[E/I]]="Import", MONTH(MainImport[[#This Row],[ETA]]), MONTH(MainImport[[#This Row],[ETD]]))</f>
        <v>#VALUE!</v>
      </c>
      <c r="AB159" t="e">
        <f>IF(MainImport[[#This Row],[E/I]]="Import", YEAR(MainImport[[#This Row],[ETA]]), YEAR(MainImport[[#This Row],[ETD]]))</f>
        <v>#VALUE!</v>
      </c>
    </row>
    <row r="160" spans="1:28" ht="16.2" customHeight="1" x14ac:dyDescent="0.3">
      <c r="A160" t="s">
        <v>28</v>
      </c>
      <c r="B160" t="s">
        <v>25</v>
      </c>
      <c r="C160" t="s">
        <v>955</v>
      </c>
      <c r="D160" t="s">
        <v>787</v>
      </c>
      <c r="E160" t="s">
        <v>28</v>
      </c>
      <c r="F160" t="s">
        <v>28</v>
      </c>
      <c r="G160" t="s">
        <v>29</v>
      </c>
      <c r="H160" s="28" t="s">
        <v>28</v>
      </c>
      <c r="I160" t="s">
        <v>28</v>
      </c>
      <c r="J160" s="6" t="s">
        <v>28</v>
      </c>
      <c r="K160" s="6" t="s">
        <v>28</v>
      </c>
      <c r="L160" s="9" t="s">
        <v>28</v>
      </c>
      <c r="M160" t="s">
        <v>33</v>
      </c>
      <c r="N160" s="24">
        <v>45398</v>
      </c>
      <c r="O160" t="s">
        <v>53</v>
      </c>
      <c r="P160" s="24" t="s">
        <v>28</v>
      </c>
      <c r="Q160" t="s">
        <v>43</v>
      </c>
      <c r="R160" t="s">
        <v>28</v>
      </c>
      <c r="S160" t="s">
        <v>28</v>
      </c>
      <c r="T160" t="s">
        <v>28</v>
      </c>
      <c r="U160" t="s">
        <v>28</v>
      </c>
      <c r="V160" t="s">
        <v>28</v>
      </c>
      <c r="W160" s="5" t="s">
        <v>788</v>
      </c>
      <c r="X160" s="8" t="s">
        <v>28</v>
      </c>
      <c r="Y160" t="s">
        <v>28</v>
      </c>
      <c r="Z160" t="s">
        <v>28</v>
      </c>
      <c r="AA160" t="e">
        <f>IF(MainImport[[#This Row],[E/I]]="Import", MONTH(MainImport[[#This Row],[ETA]]), MONTH(MainImport[[#This Row],[ETD]]))</f>
        <v>#VALUE!</v>
      </c>
      <c r="AB160" t="e">
        <f>IF(MainImport[[#This Row],[E/I]]="Import", YEAR(MainImport[[#This Row],[ETA]]), YEAR(MainImport[[#This Row],[ETD]]))</f>
        <v>#VALUE!</v>
      </c>
    </row>
    <row r="161" spans="1:28" ht="17.399999999999999" customHeight="1" x14ac:dyDescent="0.3">
      <c r="A161" t="s">
        <v>784</v>
      </c>
      <c r="B161" t="s">
        <v>25</v>
      </c>
      <c r="C161" t="s">
        <v>949</v>
      </c>
      <c r="D161" t="s">
        <v>835</v>
      </c>
      <c r="E161" t="s">
        <v>28</v>
      </c>
      <c r="F161" t="s">
        <v>28</v>
      </c>
      <c r="G161" t="s">
        <v>29</v>
      </c>
      <c r="H161" s="28">
        <v>33</v>
      </c>
      <c r="I161" t="s">
        <v>51</v>
      </c>
      <c r="J161" s="6">
        <v>429.9</v>
      </c>
      <c r="K161" s="6">
        <v>5.65</v>
      </c>
      <c r="L161" s="9" t="s">
        <v>28</v>
      </c>
      <c r="M161" t="s">
        <v>27</v>
      </c>
      <c r="N161" s="24">
        <v>45398</v>
      </c>
      <c r="O161" t="s">
        <v>73</v>
      </c>
      <c r="P161" s="24">
        <v>45412</v>
      </c>
      <c r="Q161" t="s">
        <v>754</v>
      </c>
      <c r="R161" t="s">
        <v>28</v>
      </c>
      <c r="S161" t="s">
        <v>885</v>
      </c>
      <c r="T161" s="11" t="s">
        <v>884</v>
      </c>
      <c r="U161" t="s">
        <v>28</v>
      </c>
      <c r="V161" t="s">
        <v>28</v>
      </c>
      <c r="W161" s="8" t="s">
        <v>28</v>
      </c>
      <c r="X161" s="8" t="s">
        <v>28</v>
      </c>
      <c r="Y161" t="s">
        <v>28</v>
      </c>
      <c r="Z161">
        <v>1283.3800000000001</v>
      </c>
      <c r="AA161">
        <f>IF(MainImport[[#This Row],[E/I]]="Import", MONTH(MainImport[[#This Row],[ETA]]), MONTH(MainImport[[#This Row],[ETD]]))</f>
        <v>4</v>
      </c>
      <c r="AB161">
        <f>IF(MainImport[[#This Row],[E/I]]="Import", YEAR(MainImport[[#This Row],[ETA]]), YEAR(MainImport[[#This Row],[ETD]]))</f>
        <v>2024</v>
      </c>
    </row>
    <row r="162" spans="1:28" ht="16.8" customHeight="1" x14ac:dyDescent="0.3">
      <c r="A162" t="s">
        <v>838</v>
      </c>
      <c r="B162" t="s">
        <v>25</v>
      </c>
      <c r="C162" t="s">
        <v>939</v>
      </c>
      <c r="D162" t="s">
        <v>944</v>
      </c>
      <c r="E162" t="s">
        <v>28</v>
      </c>
      <c r="F162" t="s">
        <v>63</v>
      </c>
      <c r="G162" t="s">
        <v>29</v>
      </c>
      <c r="H162" s="28">
        <v>125</v>
      </c>
      <c r="I162" t="s">
        <v>51</v>
      </c>
      <c r="J162" s="6" t="s">
        <v>28</v>
      </c>
      <c r="K162" s="6">
        <v>15.5</v>
      </c>
      <c r="L162" s="9" t="s">
        <v>28</v>
      </c>
      <c r="M162" t="s">
        <v>33</v>
      </c>
      <c r="N162" s="24" t="s">
        <v>28</v>
      </c>
      <c r="O162" t="s">
        <v>28</v>
      </c>
      <c r="P162" s="24" t="s">
        <v>28</v>
      </c>
      <c r="Q162" t="s">
        <v>754</v>
      </c>
      <c r="R162" t="s">
        <v>28</v>
      </c>
      <c r="S162" t="s">
        <v>28</v>
      </c>
      <c r="T162" t="s">
        <v>28</v>
      </c>
      <c r="U162" t="s">
        <v>28</v>
      </c>
      <c r="V162" t="s">
        <v>28</v>
      </c>
      <c r="W162" s="5" t="s">
        <v>837</v>
      </c>
      <c r="X162" s="8" t="s">
        <v>28</v>
      </c>
      <c r="Y162" t="s">
        <v>28</v>
      </c>
      <c r="Z162" t="s">
        <v>28</v>
      </c>
      <c r="AA162" t="e">
        <f>IF(MainImport[[#This Row],[E/I]]="Import", MONTH(MainImport[[#This Row],[ETA]]), MONTH(MainImport[[#This Row],[ETD]]))</f>
        <v>#VALUE!</v>
      </c>
      <c r="AB162" t="e">
        <f>IF(MainImport[[#This Row],[E/I]]="Import", YEAR(MainImport[[#This Row],[ETA]]), YEAR(MainImport[[#This Row],[ETD]]))</f>
        <v>#VALUE!</v>
      </c>
    </row>
    <row r="163" spans="1:28" ht="18.600000000000001" customHeight="1" x14ac:dyDescent="0.3">
      <c r="A163" t="s">
        <v>761</v>
      </c>
      <c r="B163" t="s">
        <v>25</v>
      </c>
      <c r="C163" t="s">
        <v>969</v>
      </c>
      <c r="D163" t="s">
        <v>28</v>
      </c>
      <c r="E163" t="s">
        <v>28</v>
      </c>
      <c r="F163" t="s">
        <v>28</v>
      </c>
      <c r="G163" t="s">
        <v>26</v>
      </c>
      <c r="H163" s="28">
        <v>2</v>
      </c>
      <c r="I163" t="s">
        <v>760</v>
      </c>
      <c r="J163" s="6" t="s">
        <v>28</v>
      </c>
      <c r="K163" s="6" t="s">
        <v>28</v>
      </c>
      <c r="L163" s="9" t="s">
        <v>28</v>
      </c>
      <c r="M163" t="s">
        <v>33</v>
      </c>
      <c r="N163" s="24" t="s">
        <v>28</v>
      </c>
      <c r="O163" t="s">
        <v>28</v>
      </c>
      <c r="P163" s="24" t="s">
        <v>28</v>
      </c>
      <c r="Q163" t="s">
        <v>28</v>
      </c>
      <c r="R163" t="s">
        <v>28</v>
      </c>
      <c r="S163" t="s">
        <v>28</v>
      </c>
      <c r="T163" t="s">
        <v>28</v>
      </c>
      <c r="U163" t="s">
        <v>28</v>
      </c>
      <c r="V163" t="s">
        <v>28</v>
      </c>
      <c r="W163" s="8" t="s">
        <v>28</v>
      </c>
      <c r="X163" s="8" t="s">
        <v>28</v>
      </c>
      <c r="Y163" t="s">
        <v>28</v>
      </c>
      <c r="Z163" t="s">
        <v>28</v>
      </c>
      <c r="AA163" t="e">
        <f>IF(MainImport[[#This Row],[E/I]]="Import", MONTH(MainImport[[#This Row],[ETA]]), MONTH(MainImport[[#This Row],[ETD]]))</f>
        <v>#VALUE!</v>
      </c>
      <c r="AB163" t="e">
        <f>IF(MainImport[[#This Row],[E/I]]="Import", YEAR(MainImport[[#This Row],[ETA]]), YEAR(MainImport[[#This Row],[ETD]]))</f>
        <v>#VALUE!</v>
      </c>
    </row>
    <row r="164" spans="1:28" ht="17.399999999999999" customHeight="1" x14ac:dyDescent="0.3">
      <c r="A164" t="s">
        <v>28</v>
      </c>
      <c r="B164" t="s">
        <v>25</v>
      </c>
      <c r="C164" t="s">
        <v>967</v>
      </c>
      <c r="D164" t="s">
        <v>28</v>
      </c>
      <c r="E164" t="s">
        <v>28</v>
      </c>
      <c r="F164" t="s">
        <v>63</v>
      </c>
      <c r="G164" t="s">
        <v>29</v>
      </c>
      <c r="H164" s="28">
        <v>8</v>
      </c>
      <c r="I164" t="s">
        <v>60</v>
      </c>
      <c r="J164" s="6">
        <v>1460</v>
      </c>
      <c r="K164" s="6">
        <v>14.3</v>
      </c>
      <c r="L164" s="9" t="s">
        <v>28</v>
      </c>
      <c r="M164" t="s">
        <v>35</v>
      </c>
      <c r="N164" s="24">
        <v>45405</v>
      </c>
      <c r="O164" t="s">
        <v>73</v>
      </c>
      <c r="P164" s="3">
        <v>45449</v>
      </c>
      <c r="Q164" t="s">
        <v>43</v>
      </c>
      <c r="R164" t="s">
        <v>28</v>
      </c>
      <c r="S164" t="s">
        <v>882</v>
      </c>
      <c r="T164" t="s">
        <v>883</v>
      </c>
      <c r="U164" t="s">
        <v>28</v>
      </c>
      <c r="V164" t="s">
        <v>28</v>
      </c>
      <c r="W164" s="8" t="s">
        <v>28</v>
      </c>
      <c r="X164" s="8" t="s">
        <v>28</v>
      </c>
      <c r="Y164" t="s">
        <v>28</v>
      </c>
      <c r="Z164" t="s">
        <v>28</v>
      </c>
      <c r="AA164">
        <f>IF(MainImport[[#This Row],[E/I]]="Import", MONTH(MainImport[[#This Row],[ETA]]), MONTH(MainImport[[#This Row],[ETD]]))</f>
        <v>6</v>
      </c>
      <c r="AB164">
        <f>IF(MainImport[[#This Row],[E/I]]="Import", YEAR(MainImport[[#This Row],[ETA]]), YEAR(MainImport[[#This Row],[ETD]]))</f>
        <v>2024</v>
      </c>
    </row>
    <row r="165" spans="1:28" ht="18" customHeight="1" x14ac:dyDescent="0.3">
      <c r="A165" t="s">
        <v>28</v>
      </c>
      <c r="B165" t="s">
        <v>25</v>
      </c>
      <c r="C165" t="s">
        <v>911</v>
      </c>
      <c r="D165" t="s">
        <v>880</v>
      </c>
      <c r="E165" t="s">
        <v>28</v>
      </c>
      <c r="F165" t="s">
        <v>28</v>
      </c>
      <c r="G165" t="s">
        <v>29</v>
      </c>
      <c r="H165" s="28">
        <v>16</v>
      </c>
      <c r="I165" t="s">
        <v>80</v>
      </c>
      <c r="J165" s="6">
        <v>680</v>
      </c>
      <c r="K165" s="6">
        <v>2.83</v>
      </c>
      <c r="L165" s="9" t="s">
        <v>28</v>
      </c>
      <c r="M165" t="s">
        <v>33</v>
      </c>
      <c r="N165" s="24" t="s">
        <v>28</v>
      </c>
      <c r="O165" t="s">
        <v>73</v>
      </c>
      <c r="P165" t="s">
        <v>28</v>
      </c>
      <c r="Q165" t="s">
        <v>194</v>
      </c>
      <c r="R165" t="s">
        <v>44</v>
      </c>
      <c r="S165" t="s">
        <v>28</v>
      </c>
      <c r="T165" t="s">
        <v>28</v>
      </c>
      <c r="U165" t="s">
        <v>28</v>
      </c>
      <c r="V165" t="s">
        <v>28</v>
      </c>
      <c r="W165" s="5" t="s">
        <v>854</v>
      </c>
      <c r="X165" s="8" t="s">
        <v>28</v>
      </c>
      <c r="Y165" t="s">
        <v>28</v>
      </c>
      <c r="Z165" t="s">
        <v>28</v>
      </c>
      <c r="AA165" t="e">
        <f>IF(MainImport[[#This Row],[E/I]]="Import", MONTH(MainImport[[#This Row],[ETA]]), MONTH(MainImport[[#This Row],[ETD]]))</f>
        <v>#VALUE!</v>
      </c>
      <c r="AB165" t="e">
        <f>IF(MainImport[[#This Row],[E/I]]="Import", YEAR(MainImport[[#This Row],[ETA]]), YEAR(MainImport[[#This Row],[ETD]]))</f>
        <v>#VALUE!</v>
      </c>
    </row>
  </sheetData>
  <conditionalFormatting sqref="A5:Z165">
    <cfRule type="expression" dxfId="72" priority="37">
      <formula>CELL("row")=ROW()</formula>
    </cfRule>
    <cfRule type="expression" dxfId="71" priority="38">
      <formula>$M5="Canceled"</formula>
    </cfRule>
    <cfRule type="expression" dxfId="70" priority="39">
      <formula>$M5="On board"</formula>
    </cfRule>
    <cfRule type="expression" dxfId="69" priority="40">
      <formula>$M5="Booked"</formula>
    </cfRule>
    <cfRule type="expression" dxfId="68" priority="43">
      <formula>$M5="Yard"</formula>
    </cfRule>
    <cfRule type="expression" dxfId="67" priority="44">
      <formula>$M5="Delivered"</formula>
    </cfRule>
  </conditionalFormatting>
  <dataValidations count="1">
    <dataValidation type="list" allowBlank="1" showInputMessage="1" showErrorMessage="1" sqref="C5:C165" xr:uid="{54404FA9-75CB-4CEE-9937-C8F96466BBAE}">
      <formula1>list_of_customers</formula1>
    </dataValidation>
  </dataValidations>
  <hyperlinks>
    <hyperlink ref="R65" r:id="rId1" display="anna@acspedycja.pl" xr:uid="{0A93B5C9-F911-4A39-B752-22989429805B}"/>
    <hyperlink ref="R81" r:id="rId2" display="anna@acspedycja.pl" xr:uid="{5415F7D8-505A-4927-8E94-827EB10127FC}"/>
    <hyperlink ref="V100" r:id="rId3" xr:uid="{DB49CDA7-23E0-497F-868C-64C6AC4BF002}"/>
    <hyperlink ref="S152" r:id="rId4" display="lisa@liutaimattress.com " xr:uid="{A11FC674-5B9C-4F04-9632-EDB3E6F9BC3A}"/>
    <hyperlink ref="V110" r:id="rId5" xr:uid="{929A3467-A65B-40FB-A895-650CD7B89A0F}"/>
  </hyperlinks>
  <pageMargins left="0.7" right="0.7" top="0.75" bottom="0.75" header="0.3" footer="0.3"/>
  <pageSetup orientation="portrait" r:id="rId6"/>
  <drawing r:id="rId7"/>
  <legacyDrawing r:id="rId8"/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C82B72-A9C8-4F4C-B0B5-B685AE42DB6B}">
          <x14:formula1>
            <xm:f>Settings!$A$2:$A$3</xm:f>
          </x14:formula1>
          <xm:sqref>B5:B165</xm:sqref>
        </x14:dataValidation>
        <x14:dataValidation type="list" allowBlank="1" showInputMessage="1" showErrorMessage="1" xr:uid="{50DC928E-AE47-44F9-B299-2F9F86895C95}">
          <x14:formula1>
            <xm:f>Settings!$A$7:$A$8</xm:f>
          </x14:formula1>
          <xm:sqref>G5:G165</xm:sqref>
        </x14:dataValidation>
        <x14:dataValidation type="list" allowBlank="1" showInputMessage="1" showErrorMessage="1" xr:uid="{893C71A2-F4FD-4A72-91DC-6EFECA8FF2EA}">
          <x14:formula1>
            <xm:f>Settings!$C$2:$C$7</xm:f>
          </x14:formula1>
          <xm:sqref>M5:M165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0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73013-2396-4E51-832B-9C1CDA44C35D}">
  <sheetPr codeName="Arkusz1"/>
  <dimension ref="A1:R10"/>
  <sheetViews>
    <sheetView workbookViewId="0">
      <selection activeCell="D6" sqref="D6"/>
    </sheetView>
  </sheetViews>
  <sheetFormatPr defaultRowHeight="14.4" x14ac:dyDescent="0.3"/>
  <cols>
    <col min="1" max="1" width="11.33203125" customWidth="1"/>
    <col min="3" max="3" width="11" customWidth="1"/>
    <col min="4" max="4" width="9.6640625" customWidth="1"/>
    <col min="5" max="5" width="7.77734375" customWidth="1"/>
    <col min="6" max="6" width="8" customWidth="1"/>
    <col min="7" max="7" width="5.88671875" customWidth="1"/>
    <col min="8" max="8" width="10.109375" customWidth="1"/>
    <col min="9" max="9" width="8.44140625" customWidth="1"/>
    <col min="10" max="10" width="14.77734375" customWidth="1"/>
    <col min="11" max="12" width="11.88671875" customWidth="1"/>
    <col min="13" max="13" width="16.109375" customWidth="1"/>
    <col min="14" max="14" width="19.21875" customWidth="1"/>
    <col min="15" max="15" width="11.5546875" customWidth="1"/>
    <col min="16" max="16" width="12.77734375" customWidth="1"/>
  </cols>
  <sheetData>
    <row r="1" spans="1:18" s="1" customFormat="1" ht="37.200000000000003" customHeight="1" x14ac:dyDescent="0.3"/>
    <row r="2" spans="1:18" s="1" customFormat="1" ht="37.200000000000003" customHeight="1" x14ac:dyDescent="0.3"/>
    <row r="3" spans="1:18" s="1" customFormat="1" ht="30.6" customHeight="1" x14ac:dyDescent="0.3"/>
    <row r="4" spans="1:18" s="15" customFormat="1" ht="27.6" customHeight="1" x14ac:dyDescent="0.3">
      <c r="A4" t="s">
        <v>0</v>
      </c>
      <c r="B4" s="15" t="s">
        <v>1</v>
      </c>
      <c r="C4" s="15" t="s">
        <v>2</v>
      </c>
      <c r="D4" s="15" t="s">
        <v>5</v>
      </c>
      <c r="E4" s="15" t="s">
        <v>36</v>
      </c>
      <c r="F4" s="15" t="s">
        <v>7</v>
      </c>
      <c r="G4" s="15" t="s">
        <v>8</v>
      </c>
      <c r="H4" s="15" t="s">
        <v>9</v>
      </c>
      <c r="I4" s="15" t="s">
        <v>10</v>
      </c>
      <c r="J4" s="15" t="s">
        <v>11</v>
      </c>
      <c r="K4" s="15" t="s">
        <v>862</v>
      </c>
      <c r="L4" s="15" t="s">
        <v>887</v>
      </c>
      <c r="M4" s="15" t="s">
        <v>863</v>
      </c>
      <c r="N4" s="15" t="s">
        <v>864</v>
      </c>
      <c r="O4" s="15" t="s">
        <v>31</v>
      </c>
      <c r="P4" s="15" t="s">
        <v>860</v>
      </c>
      <c r="Q4" s="15" t="s">
        <v>865</v>
      </c>
      <c r="R4" s="15" t="s">
        <v>866</v>
      </c>
    </row>
    <row r="5" spans="1:18" x14ac:dyDescent="0.3">
      <c r="A5" t="s">
        <v>367</v>
      </c>
      <c r="B5" t="s">
        <v>25</v>
      </c>
      <c r="C5" t="s">
        <v>971</v>
      </c>
      <c r="D5" t="s">
        <v>40</v>
      </c>
      <c r="E5" t="s">
        <v>26</v>
      </c>
      <c r="F5">
        <v>3</v>
      </c>
      <c r="G5" t="s">
        <v>90</v>
      </c>
      <c r="H5">
        <v>44100</v>
      </c>
      <c r="I5">
        <v>3</v>
      </c>
      <c r="J5" t="s">
        <v>850</v>
      </c>
      <c r="K5" t="s">
        <v>888</v>
      </c>
      <c r="L5" t="s">
        <v>889</v>
      </c>
      <c r="N5" t="s">
        <v>890</v>
      </c>
      <c r="O5" t="s">
        <v>871</v>
      </c>
    </row>
    <row r="6" spans="1:18" ht="14.4" customHeight="1" x14ac:dyDescent="0.3">
      <c r="A6" t="s">
        <v>402</v>
      </c>
      <c r="B6" t="s">
        <v>25</v>
      </c>
      <c r="C6" t="s">
        <v>937</v>
      </c>
      <c r="D6" t="s">
        <v>40</v>
      </c>
      <c r="E6" t="s">
        <v>29</v>
      </c>
      <c r="F6">
        <v>2</v>
      </c>
      <c r="G6" t="s">
        <v>83</v>
      </c>
      <c r="H6">
        <v>1910</v>
      </c>
      <c r="I6">
        <v>2.75</v>
      </c>
      <c r="J6" t="s">
        <v>457</v>
      </c>
      <c r="K6" t="s">
        <v>44</v>
      </c>
      <c r="O6" t="s">
        <v>872</v>
      </c>
    </row>
    <row r="7" spans="1:18" x14ac:dyDescent="0.3">
      <c r="A7" t="s">
        <v>397</v>
      </c>
      <c r="B7" t="s">
        <v>25</v>
      </c>
      <c r="C7" t="s">
        <v>939</v>
      </c>
      <c r="D7" t="s">
        <v>63</v>
      </c>
      <c r="E7" t="s">
        <v>26</v>
      </c>
      <c r="F7">
        <v>1</v>
      </c>
      <c r="G7" t="s">
        <v>41</v>
      </c>
      <c r="H7" t="s">
        <v>28</v>
      </c>
      <c r="I7">
        <v>2</v>
      </c>
      <c r="J7" t="s">
        <v>737</v>
      </c>
      <c r="O7" t="s">
        <v>870</v>
      </c>
    </row>
    <row r="8" spans="1:18" x14ac:dyDescent="0.3">
      <c r="A8" t="s">
        <v>682</v>
      </c>
      <c r="B8" t="s">
        <v>25</v>
      </c>
      <c r="C8" t="s">
        <v>907</v>
      </c>
      <c r="D8" t="s">
        <v>28</v>
      </c>
      <c r="E8" t="s">
        <v>29</v>
      </c>
      <c r="F8">
        <v>1</v>
      </c>
      <c r="G8" t="s">
        <v>41</v>
      </c>
      <c r="H8">
        <v>2150</v>
      </c>
      <c r="I8">
        <v>2.21</v>
      </c>
      <c r="J8" t="s">
        <v>28</v>
      </c>
      <c r="K8" t="s">
        <v>547</v>
      </c>
      <c r="O8" t="s">
        <v>873</v>
      </c>
    </row>
    <row r="9" spans="1:18" x14ac:dyDescent="0.3">
      <c r="A9" t="s">
        <v>702</v>
      </c>
      <c r="B9" t="s">
        <v>25</v>
      </c>
      <c r="C9" t="s">
        <v>939</v>
      </c>
      <c r="D9" t="s">
        <v>63</v>
      </c>
      <c r="E9" t="s">
        <v>29</v>
      </c>
      <c r="F9" s="28">
        <v>125</v>
      </c>
      <c r="G9" t="s">
        <v>51</v>
      </c>
      <c r="H9" s="6">
        <v>2172</v>
      </c>
      <c r="I9" s="6">
        <v>6.359</v>
      </c>
      <c r="J9" s="9" t="s">
        <v>778</v>
      </c>
      <c r="O9" t="s">
        <v>24</v>
      </c>
    </row>
    <row r="10" spans="1:18" x14ac:dyDescent="0.3">
      <c r="A10" t="s">
        <v>745</v>
      </c>
      <c r="B10" t="s">
        <v>25</v>
      </c>
      <c r="C10" t="s">
        <v>918</v>
      </c>
      <c r="D10" t="s">
        <v>40</v>
      </c>
      <c r="E10" t="s">
        <v>26</v>
      </c>
      <c r="F10">
        <v>1</v>
      </c>
      <c r="G10" t="s">
        <v>41</v>
      </c>
      <c r="H10">
        <v>8090</v>
      </c>
      <c r="I10">
        <v>2</v>
      </c>
      <c r="J10" t="s">
        <v>443</v>
      </c>
      <c r="K10" t="s">
        <v>542</v>
      </c>
      <c r="M10" t="s">
        <v>28</v>
      </c>
      <c r="N10" t="s">
        <v>868</v>
      </c>
      <c r="O10" t="s">
        <v>870</v>
      </c>
      <c r="P10" t="s">
        <v>28</v>
      </c>
      <c r="Q10" t="s">
        <v>28</v>
      </c>
      <c r="R10" t="s">
        <v>28</v>
      </c>
    </row>
  </sheetData>
  <phoneticPr fontId="4" type="noConversion"/>
  <conditionalFormatting sqref="A5:R10">
    <cfRule type="expression" dxfId="66" priority="1">
      <formula>$O5="Inspection"</formula>
    </cfRule>
    <cfRule type="expression" dxfId="65" priority="2">
      <formula>$O5="Finished"</formula>
    </cfRule>
    <cfRule type="expression" dxfId="64" priority="3">
      <formula>$O5="Lack of docs"</formula>
    </cfRule>
    <cfRule type="expression" dxfId="63" priority="4">
      <formula>$O5="Docs"</formula>
    </cfRule>
    <cfRule type="expression" dxfId="62" priority="5">
      <formula>$O5="In progress"</formula>
    </cfRule>
    <cfRule type="expression" dxfId="61" priority="6">
      <formula>$O5="Checking"</formula>
    </cfRule>
  </conditionalFormatting>
  <dataValidations count="1">
    <dataValidation type="list" allowBlank="1" showInputMessage="1" showErrorMessage="1" sqref="C3 C6:C9" xr:uid="{4A46BCB4-19E2-40C4-98BB-DF0D8117C747}">
      <formula1>list_of_customers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DAAB30-5CE4-4CE9-B236-ABB6BDB87A1B}">
          <x14:formula1>
            <xm:f>Settings!$A$2:$A$3</xm:f>
          </x14:formula1>
          <xm:sqref>B3 B6:B9</xm:sqref>
        </x14:dataValidation>
        <x14:dataValidation type="list" allowBlank="1" showInputMessage="1" showErrorMessage="1" xr:uid="{F41B04D5-D797-4F34-A3C2-ED289D903148}">
          <x14:formula1>
            <xm:f>Settings!$A$7:$A$8</xm:f>
          </x14:formula1>
          <xm:sqref>E6:E9</xm:sqref>
        </x14:dataValidation>
        <x14:dataValidation type="list" allowBlank="1" showInputMessage="1" showErrorMessage="1" xr:uid="{62CA48C2-75E1-4996-A187-D933E81C214A}">
          <x14:formula1>
            <xm:f>Settings!$E$2:$E$7</xm:f>
          </x14:formula1>
          <xm:sqref>O5:O10</xm:sqref>
        </x14:dataValidation>
        <x14:dataValidation type="list" allowBlank="1" showInputMessage="1" showErrorMessage="1" xr:uid="{5DFF4754-85A7-463F-89D1-4F604FCAFA74}">
          <x14:formula1>
            <xm:f>Settings!$G$3:$G$4</xm:f>
          </x14:formula1>
          <xm:sqref>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4A1A4-E898-4B3F-8FEA-CDFF861D8397}">
  <sheetPr codeName="Arkusz2"/>
  <dimension ref="A1:B53"/>
  <sheetViews>
    <sheetView topLeftCell="A29" zoomScale="85" zoomScaleNormal="85" workbookViewId="0">
      <selection activeCell="L4" sqref="L4"/>
    </sheetView>
  </sheetViews>
  <sheetFormatPr defaultRowHeight="14.4" x14ac:dyDescent="0.3"/>
  <cols>
    <col min="1" max="1" width="26.5546875" bestFit="1" customWidth="1"/>
    <col min="2" max="2" width="19.88671875" bestFit="1" customWidth="1"/>
    <col min="3" max="3" width="16.33203125" bestFit="1" customWidth="1"/>
    <col min="4" max="4" width="11.109375" bestFit="1" customWidth="1"/>
    <col min="5" max="5" width="14.6640625" bestFit="1" customWidth="1"/>
    <col min="6" max="6" width="13.5546875" bestFit="1" customWidth="1"/>
    <col min="7" max="7" width="4.21875" bestFit="1" customWidth="1"/>
    <col min="8" max="8" width="4.33203125" bestFit="1" customWidth="1"/>
    <col min="9" max="9" width="7" bestFit="1" customWidth="1"/>
    <col min="10" max="10" width="14" bestFit="1" customWidth="1"/>
    <col min="11" max="77" width="10.109375" bestFit="1" customWidth="1"/>
    <col min="78" max="78" width="7" bestFit="1" customWidth="1"/>
    <col min="79" max="79" width="14" bestFit="1" customWidth="1"/>
    <col min="80" max="92" width="11.6640625" bestFit="1" customWidth="1"/>
    <col min="93" max="93" width="53.5546875" bestFit="1" customWidth="1"/>
    <col min="94" max="97" width="11.6640625" bestFit="1" customWidth="1"/>
    <col min="98" max="98" width="53.5546875" bestFit="1" customWidth="1"/>
    <col min="99" max="138" width="11.6640625" bestFit="1" customWidth="1"/>
    <col min="139" max="139" width="53.5546875" bestFit="1" customWidth="1"/>
    <col min="140" max="146" width="11.6640625" bestFit="1" customWidth="1"/>
    <col min="147" max="147" width="53.5546875" bestFit="1" customWidth="1"/>
    <col min="148" max="151" width="11.6640625" bestFit="1" customWidth="1"/>
    <col min="152" max="152" width="14" bestFit="1" customWidth="1"/>
  </cols>
  <sheetData>
    <row r="1" spans="1:2" x14ac:dyDescent="0.3">
      <c r="A1" s="21" t="s">
        <v>1</v>
      </c>
      <c r="B1" t="s">
        <v>25</v>
      </c>
    </row>
    <row r="3" spans="1:2" x14ac:dyDescent="0.3">
      <c r="A3" s="21" t="s">
        <v>974</v>
      </c>
      <c r="B3" t="s">
        <v>973</v>
      </c>
    </row>
    <row r="4" spans="1:2" x14ac:dyDescent="0.3">
      <c r="A4" s="22" t="s">
        <v>35</v>
      </c>
      <c r="B4">
        <v>17</v>
      </c>
    </row>
    <row r="5" spans="1:2" x14ac:dyDescent="0.3">
      <c r="A5" s="22" t="s">
        <v>34</v>
      </c>
      <c r="B5">
        <v>4</v>
      </c>
    </row>
    <row r="6" spans="1:2" x14ac:dyDescent="0.3">
      <c r="A6" s="22" t="s">
        <v>37</v>
      </c>
      <c r="B6">
        <v>77</v>
      </c>
    </row>
    <row r="7" spans="1:2" x14ac:dyDescent="0.3">
      <c r="A7" s="22" t="s">
        <v>27</v>
      </c>
      <c r="B7">
        <v>42</v>
      </c>
    </row>
    <row r="8" spans="1:2" x14ac:dyDescent="0.3">
      <c r="A8" s="22" t="s">
        <v>33</v>
      </c>
      <c r="B8">
        <v>13</v>
      </c>
    </row>
    <row r="9" spans="1:2" x14ac:dyDescent="0.3">
      <c r="A9" s="22" t="s">
        <v>38</v>
      </c>
      <c r="B9">
        <v>6</v>
      </c>
    </row>
    <row r="10" spans="1:2" x14ac:dyDescent="0.3">
      <c r="A10" s="22" t="s">
        <v>813</v>
      </c>
      <c r="B10">
        <v>1</v>
      </c>
    </row>
    <row r="11" spans="1:2" x14ac:dyDescent="0.3">
      <c r="A11" s="22" t="s">
        <v>972</v>
      </c>
      <c r="B11">
        <v>160</v>
      </c>
    </row>
    <row r="14" spans="1:2" x14ac:dyDescent="0.3">
      <c r="A14" s="21" t="s">
        <v>31</v>
      </c>
      <c r="B14" t="s">
        <v>867</v>
      </c>
    </row>
    <row r="16" spans="1:2" ht="28.8" x14ac:dyDescent="0.3">
      <c r="A16" s="26" t="s">
        <v>975</v>
      </c>
      <c r="B16" t="s">
        <v>976</v>
      </c>
    </row>
    <row r="17" spans="1:2" x14ac:dyDescent="0.3">
      <c r="A17" s="22" t="s">
        <v>26</v>
      </c>
      <c r="B17" s="55">
        <v>189031.05999999997</v>
      </c>
    </row>
    <row r="18" spans="1:2" x14ac:dyDescent="0.3">
      <c r="A18" s="22" t="s">
        <v>29</v>
      </c>
      <c r="B18" s="55">
        <v>75930.070000000007</v>
      </c>
    </row>
    <row r="19" spans="1:2" x14ac:dyDescent="0.3">
      <c r="A19" s="22" t="s">
        <v>977</v>
      </c>
      <c r="B19" s="55">
        <v>264961.13</v>
      </c>
    </row>
    <row r="30" spans="1:2" x14ac:dyDescent="0.3">
      <c r="A30" s="21" t="s">
        <v>31</v>
      </c>
      <c r="B30" t="s">
        <v>867</v>
      </c>
    </row>
    <row r="32" spans="1:2" ht="28.8" x14ac:dyDescent="0.3">
      <c r="A32" s="51" t="s">
        <v>978</v>
      </c>
      <c r="B32" s="11" t="s">
        <v>979</v>
      </c>
    </row>
    <row r="33" spans="1:2" x14ac:dyDescent="0.3">
      <c r="A33" s="22" t="s">
        <v>940</v>
      </c>
      <c r="B33" s="6">
        <v>4417.875</v>
      </c>
    </row>
    <row r="34" spans="1:2" x14ac:dyDescent="0.3">
      <c r="A34" s="22" t="s">
        <v>914</v>
      </c>
      <c r="B34" s="6">
        <v>4405.29</v>
      </c>
    </row>
    <row r="35" spans="1:2" x14ac:dyDescent="0.3">
      <c r="A35" s="22" t="s">
        <v>922</v>
      </c>
      <c r="B35" s="6">
        <v>4061.1680000000001</v>
      </c>
    </row>
    <row r="36" spans="1:2" x14ac:dyDescent="0.3">
      <c r="A36" s="22" t="s">
        <v>949</v>
      </c>
      <c r="B36" s="6">
        <v>3536.4754545454543</v>
      </c>
    </row>
    <row r="37" spans="1:2" x14ac:dyDescent="0.3">
      <c r="A37" s="22" t="s">
        <v>939</v>
      </c>
      <c r="B37" s="6">
        <v>3334.3999999999996</v>
      </c>
    </row>
    <row r="38" spans="1:2" x14ac:dyDescent="0.3">
      <c r="A38" s="22" t="s">
        <v>919</v>
      </c>
      <c r="B38" s="6">
        <v>3257.9700000000003</v>
      </c>
    </row>
    <row r="39" spans="1:2" x14ac:dyDescent="0.3">
      <c r="A39" s="22" t="s">
        <v>954</v>
      </c>
      <c r="B39" s="6">
        <v>2889.19</v>
      </c>
    </row>
    <row r="40" spans="1:2" x14ac:dyDescent="0.3">
      <c r="A40" s="22" t="s">
        <v>911</v>
      </c>
      <c r="B40" s="6">
        <v>2672.91</v>
      </c>
    </row>
    <row r="41" spans="1:2" x14ac:dyDescent="0.3">
      <c r="A41" s="22" t="s">
        <v>931</v>
      </c>
      <c r="B41" s="6">
        <v>2499.6999999999998</v>
      </c>
    </row>
    <row r="42" spans="1:2" x14ac:dyDescent="0.3">
      <c r="A42" s="22" t="s">
        <v>912</v>
      </c>
      <c r="B42" s="6">
        <v>2445.88</v>
      </c>
    </row>
    <row r="43" spans="1:2" x14ac:dyDescent="0.3">
      <c r="A43" s="22" t="s">
        <v>938</v>
      </c>
      <c r="B43" s="6">
        <v>2422.87</v>
      </c>
    </row>
    <row r="44" spans="1:2" x14ac:dyDescent="0.3">
      <c r="A44" s="22" t="s">
        <v>962</v>
      </c>
      <c r="B44" s="6">
        <v>2328.92</v>
      </c>
    </row>
    <row r="45" spans="1:2" x14ac:dyDescent="0.3">
      <c r="A45" s="22" t="s">
        <v>956</v>
      </c>
      <c r="B45" s="6">
        <v>2080.9849999999997</v>
      </c>
    </row>
    <row r="46" spans="1:2" x14ac:dyDescent="0.3">
      <c r="A46" s="22" t="s">
        <v>926</v>
      </c>
      <c r="B46" s="6">
        <v>1938.44</v>
      </c>
    </row>
    <row r="47" spans="1:2" x14ac:dyDescent="0.3">
      <c r="A47" s="22" t="s">
        <v>907</v>
      </c>
      <c r="B47" s="6">
        <v>1922.0525</v>
      </c>
    </row>
    <row r="48" spans="1:2" x14ac:dyDescent="0.3">
      <c r="A48" s="22" t="s">
        <v>952</v>
      </c>
      <c r="B48" s="6">
        <v>1906.5910526315788</v>
      </c>
    </row>
    <row r="49" spans="1:2" x14ac:dyDescent="0.3">
      <c r="A49" s="22" t="s">
        <v>932</v>
      </c>
      <c r="B49" s="6">
        <v>1781.78</v>
      </c>
    </row>
    <row r="50" spans="1:2" x14ac:dyDescent="0.3">
      <c r="A50" s="22" t="s">
        <v>935</v>
      </c>
      <c r="B50" s="6">
        <v>1714.7175</v>
      </c>
    </row>
    <row r="51" spans="1:2" x14ac:dyDescent="0.3">
      <c r="A51" s="22" t="s">
        <v>959</v>
      </c>
      <c r="B51" s="6">
        <v>1694.85</v>
      </c>
    </row>
    <row r="52" spans="1:2" x14ac:dyDescent="0.3">
      <c r="A52" s="22" t="s">
        <v>955</v>
      </c>
      <c r="B52" s="6">
        <v>1688.1475</v>
      </c>
    </row>
    <row r="53" spans="1:2" x14ac:dyDescent="0.3">
      <c r="A53" s="22" t="s">
        <v>977</v>
      </c>
      <c r="B53" s="6">
        <v>2611.866913580247</v>
      </c>
    </row>
  </sheetData>
  <conditionalFormatting pivot="1" sqref="B4:B10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{3A2BE5A3-0951-460C-927D-167EDAEFA15C}</x14:id>
        </ext>
      </extLst>
    </cfRule>
  </conditionalFormatting>
  <conditionalFormatting pivot="1" sqref="B17:B18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{C4C7429F-D98A-4D04-93C7-C802DBDC45EC}</x14:id>
        </ext>
      </extLst>
    </cfRule>
  </conditionalFormatting>
  <conditionalFormatting pivot="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3A2BE5A3-0951-460C-927D-167EDAEFA1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B4:B10</xm:sqref>
        </x14:conditionalFormatting>
        <x14:conditionalFormatting xmlns:xm="http://schemas.microsoft.com/office/excel/2006/main" pivot="1">
          <x14:cfRule type="dataBar" id="{C4C7429F-D98A-4D04-93C7-C802DBDC45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B17:B18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C1AAE-F0F1-4EC6-A2CE-F3004AE4D80A}">
  <sheetPr codeName="Arkusz5"/>
  <dimension ref="A1:L18"/>
  <sheetViews>
    <sheetView zoomScale="85" zoomScaleNormal="85" workbookViewId="0">
      <selection activeCell="F2" sqref="F2"/>
    </sheetView>
  </sheetViews>
  <sheetFormatPr defaultRowHeight="14.4" x14ac:dyDescent="0.3"/>
  <cols>
    <col min="1" max="1" width="14" style="46" bestFit="1" customWidth="1"/>
    <col min="2" max="2" width="20.44140625" style="46" bestFit="1" customWidth="1"/>
    <col min="3" max="3" width="16.6640625" style="46" bestFit="1" customWidth="1"/>
    <col min="4" max="5" width="16.6640625" style="46" customWidth="1"/>
    <col min="6" max="6" width="11.5546875" style="46" bestFit="1" customWidth="1"/>
    <col min="7" max="8" width="8.88671875" style="46"/>
    <col min="9" max="9" width="15.5546875" style="46" customWidth="1"/>
    <col min="10" max="10" width="12.44140625" style="46" customWidth="1"/>
    <col min="11" max="11" width="16.33203125" style="46" customWidth="1"/>
    <col min="12" max="12" width="10.21875" style="46" customWidth="1"/>
    <col min="13" max="16384" width="8.88671875" style="46"/>
  </cols>
  <sheetData>
    <row r="1" spans="1:12" x14ac:dyDescent="0.3">
      <c r="A1" s="46" t="s">
        <v>897</v>
      </c>
      <c r="B1" s="46" t="s">
        <v>895</v>
      </c>
      <c r="I1" s="46" t="s">
        <v>903</v>
      </c>
      <c r="J1" s="46" t="s">
        <v>895</v>
      </c>
      <c r="K1" s="46" t="s">
        <v>902</v>
      </c>
      <c r="L1" s="46" t="s">
        <v>895</v>
      </c>
    </row>
    <row r="2" spans="1:12" x14ac:dyDescent="0.3">
      <c r="A2" s="46" t="s">
        <v>6</v>
      </c>
      <c r="B2" s="46" t="s">
        <v>895</v>
      </c>
    </row>
    <row r="3" spans="1:12" x14ac:dyDescent="0.3">
      <c r="A3" s="46" t="s">
        <v>31</v>
      </c>
      <c r="B3" s="46" t="s">
        <v>867</v>
      </c>
      <c r="I3" s="50" t="s">
        <v>904</v>
      </c>
      <c r="K3" s="49" t="s">
        <v>901</v>
      </c>
    </row>
    <row r="4" spans="1:12" x14ac:dyDescent="0.3">
      <c r="I4" s="57">
        <v>264961.12999999995</v>
      </c>
      <c r="K4" s="57">
        <v>161</v>
      </c>
    </row>
    <row r="5" spans="1:12" x14ac:dyDescent="0.3">
      <c r="A5" s="46" t="s">
        <v>896</v>
      </c>
      <c r="B5" s="46" t="s">
        <v>900</v>
      </c>
      <c r="C5" s="46" t="s">
        <v>901</v>
      </c>
    </row>
    <row r="6" spans="1:12" x14ac:dyDescent="0.3">
      <c r="A6" s="47">
        <v>2023</v>
      </c>
      <c r="B6" s="56">
        <v>11104.760000000004</v>
      </c>
      <c r="C6" s="56">
        <v>9</v>
      </c>
    </row>
    <row r="7" spans="1:12" x14ac:dyDescent="0.3">
      <c r="A7" s="48">
        <v>10</v>
      </c>
      <c r="B7" s="56">
        <v>9837.1900000000023</v>
      </c>
      <c r="C7" s="56">
        <v>5</v>
      </c>
    </row>
    <row r="8" spans="1:12" x14ac:dyDescent="0.3">
      <c r="A8" s="48">
        <v>11</v>
      </c>
      <c r="B8" s="56">
        <v>408.43</v>
      </c>
      <c r="C8" s="56">
        <v>1</v>
      </c>
    </row>
    <row r="9" spans="1:12" x14ac:dyDescent="0.3">
      <c r="A9" s="48">
        <v>12</v>
      </c>
      <c r="B9" s="56">
        <v>859.14</v>
      </c>
      <c r="C9" s="56">
        <v>3</v>
      </c>
    </row>
    <row r="10" spans="1:12" x14ac:dyDescent="0.3">
      <c r="A10" s="47">
        <v>2024</v>
      </c>
      <c r="B10" s="56">
        <v>227610.56999999998</v>
      </c>
      <c r="C10" s="56">
        <v>121</v>
      </c>
    </row>
    <row r="11" spans="1:12" x14ac:dyDescent="0.3">
      <c r="A11" s="48">
        <v>1</v>
      </c>
      <c r="B11" s="56">
        <v>13109.260000000002</v>
      </c>
      <c r="C11" s="56">
        <v>14</v>
      </c>
    </row>
    <row r="12" spans="1:12" x14ac:dyDescent="0.3">
      <c r="A12" s="48">
        <v>2</v>
      </c>
      <c r="B12" s="56">
        <v>52255.259999999995</v>
      </c>
      <c r="C12" s="56">
        <v>22</v>
      </c>
    </row>
    <row r="13" spans="1:12" x14ac:dyDescent="0.3">
      <c r="A13" s="48">
        <v>3</v>
      </c>
      <c r="B13" s="56">
        <v>43111.860000000008</v>
      </c>
      <c r="C13" s="56">
        <v>31</v>
      </c>
    </row>
    <row r="14" spans="1:12" x14ac:dyDescent="0.3">
      <c r="A14" s="48">
        <v>4</v>
      </c>
      <c r="B14" s="56">
        <v>61112.62000000001</v>
      </c>
      <c r="C14" s="56">
        <v>28</v>
      </c>
    </row>
    <row r="15" spans="1:12" x14ac:dyDescent="0.3">
      <c r="A15" s="48">
        <v>5</v>
      </c>
      <c r="B15" s="56">
        <v>53449.61</v>
      </c>
      <c r="C15" s="56">
        <v>23</v>
      </c>
    </row>
    <row r="16" spans="1:12" x14ac:dyDescent="0.3">
      <c r="A16" s="48">
        <v>6</v>
      </c>
      <c r="B16" s="56">
        <v>4571.96</v>
      </c>
      <c r="C16" s="56">
        <v>3</v>
      </c>
    </row>
    <row r="17" spans="1:3" x14ac:dyDescent="0.3">
      <c r="A17" s="47" t="s">
        <v>948</v>
      </c>
      <c r="B17" s="56">
        <v>450</v>
      </c>
      <c r="C17" s="56">
        <v>1</v>
      </c>
    </row>
    <row r="18" spans="1:3" x14ac:dyDescent="0.3">
      <c r="A18" s="48" t="s">
        <v>948</v>
      </c>
      <c r="B18" s="56">
        <v>450</v>
      </c>
      <c r="C18" s="56">
        <v>1</v>
      </c>
    </row>
  </sheetData>
  <pageMargins left="0.7" right="0.7" top="0.75" bottom="0.75" header="0.3" footer="0.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687EB-76B4-4044-8EC1-D58F43801981}">
  <sheetPr codeName="Arkusz3"/>
  <dimension ref="A1:F45"/>
  <sheetViews>
    <sheetView topLeftCell="A4" workbookViewId="0">
      <selection activeCell="A44" sqref="A44"/>
    </sheetView>
  </sheetViews>
  <sheetFormatPr defaultRowHeight="19.95" customHeight="1" x14ac:dyDescent="0.3"/>
  <cols>
    <col min="1" max="1" width="23.77734375" customWidth="1"/>
    <col min="2" max="2" width="21" customWidth="1"/>
    <col min="3" max="3" width="17.109375" customWidth="1"/>
    <col min="4" max="4" width="20.21875" customWidth="1"/>
    <col min="5" max="5" width="13.5546875" customWidth="1"/>
    <col min="6" max="6" width="11.77734375" customWidth="1"/>
    <col min="7" max="7" width="25.77734375" customWidth="1"/>
    <col min="8" max="8" width="9.21875" customWidth="1"/>
    <col min="11" max="11" width="19.6640625" customWidth="1"/>
  </cols>
  <sheetData>
    <row r="1" spans="1:6" ht="19.95" customHeight="1" x14ac:dyDescent="0.3">
      <c r="A1" s="10" t="s">
        <v>46</v>
      </c>
      <c r="B1" s="10" t="s">
        <v>47</v>
      </c>
      <c r="C1" s="10" t="s">
        <v>334</v>
      </c>
      <c r="D1" s="2" t="s">
        <v>418</v>
      </c>
      <c r="E1" s="10" t="s">
        <v>661</v>
      </c>
      <c r="F1" s="10" t="s">
        <v>819</v>
      </c>
    </row>
    <row r="2" spans="1:6" ht="19.95" customHeight="1" x14ac:dyDescent="0.3">
      <c r="A2" t="s">
        <v>905</v>
      </c>
    </row>
    <row r="3" spans="1:6" ht="19.95" customHeight="1" x14ac:dyDescent="0.3">
      <c r="A3" t="s">
        <v>906</v>
      </c>
      <c r="E3" t="s">
        <v>722</v>
      </c>
    </row>
    <row r="4" spans="1:6" ht="19.95" customHeight="1" x14ac:dyDescent="0.3">
      <c r="A4" t="s">
        <v>907</v>
      </c>
      <c r="B4" s="5" t="s">
        <v>28</v>
      </c>
      <c r="D4">
        <v>7</v>
      </c>
      <c r="E4" s="5" t="s">
        <v>812</v>
      </c>
    </row>
    <row r="5" spans="1:6" ht="19.95" customHeight="1" x14ac:dyDescent="0.3">
      <c r="A5" t="s">
        <v>911</v>
      </c>
      <c r="B5" t="s">
        <v>28</v>
      </c>
      <c r="C5" t="s">
        <v>28</v>
      </c>
      <c r="D5">
        <v>7</v>
      </c>
    </row>
    <row r="6" spans="1:6" ht="19.95" customHeight="1" x14ac:dyDescent="0.3">
      <c r="A6" t="s">
        <v>912</v>
      </c>
      <c r="B6" t="s">
        <v>28</v>
      </c>
      <c r="C6" t="s">
        <v>28</v>
      </c>
      <c r="D6">
        <v>30</v>
      </c>
    </row>
    <row r="7" spans="1:6" ht="19.95" customHeight="1" x14ac:dyDescent="0.3">
      <c r="A7" s="9" t="s">
        <v>914</v>
      </c>
      <c r="B7" s="5" t="s">
        <v>297</v>
      </c>
      <c r="C7" s="5" t="s">
        <v>335</v>
      </c>
      <c r="D7" t="s">
        <v>600</v>
      </c>
    </row>
    <row r="8" spans="1:6" ht="19.95" customHeight="1" x14ac:dyDescent="0.3">
      <c r="A8" t="s">
        <v>915</v>
      </c>
      <c r="D8">
        <v>30</v>
      </c>
      <c r="E8" t="s">
        <v>723</v>
      </c>
    </row>
    <row r="9" spans="1:6" ht="19.95" customHeight="1" x14ac:dyDescent="0.3">
      <c r="A9" t="s">
        <v>918</v>
      </c>
      <c r="D9" s="9">
        <v>7</v>
      </c>
      <c r="E9" t="s">
        <v>662</v>
      </c>
    </row>
    <row r="10" spans="1:6" ht="19.95" customHeight="1" x14ac:dyDescent="0.3">
      <c r="A10" t="s">
        <v>919</v>
      </c>
      <c r="B10" t="s">
        <v>28</v>
      </c>
      <c r="C10" t="s">
        <v>28</v>
      </c>
      <c r="D10">
        <v>7</v>
      </c>
      <c r="E10" t="s">
        <v>28</v>
      </c>
    </row>
    <row r="11" spans="1:6" ht="19.95" customHeight="1" x14ac:dyDescent="0.3">
      <c r="A11" t="s">
        <v>921</v>
      </c>
    </row>
    <row r="12" spans="1:6" ht="19.95" customHeight="1" x14ac:dyDescent="0.3">
      <c r="A12" s="12" t="s">
        <v>922</v>
      </c>
      <c r="D12">
        <v>7</v>
      </c>
      <c r="E12" t="s">
        <v>662</v>
      </c>
    </row>
    <row r="13" spans="1:6" ht="19.95" customHeight="1" x14ac:dyDescent="0.3">
      <c r="A13" t="s">
        <v>926</v>
      </c>
      <c r="D13">
        <v>7</v>
      </c>
    </row>
    <row r="14" spans="1:6" ht="19.95" customHeight="1" x14ac:dyDescent="0.3">
      <c r="A14" t="s">
        <v>927</v>
      </c>
      <c r="D14">
        <v>7</v>
      </c>
    </row>
    <row r="15" spans="1:6" ht="19.95" customHeight="1" x14ac:dyDescent="0.3">
      <c r="A15" t="s">
        <v>928</v>
      </c>
      <c r="D15">
        <v>30</v>
      </c>
      <c r="E15" t="s">
        <v>723</v>
      </c>
    </row>
    <row r="16" spans="1:6" ht="19.95" customHeight="1" x14ac:dyDescent="0.3">
      <c r="A16" t="s">
        <v>929</v>
      </c>
      <c r="B16" t="s">
        <v>28</v>
      </c>
      <c r="C16" t="s">
        <v>28</v>
      </c>
    </row>
    <row r="17" spans="1:6" ht="19.95" customHeight="1" x14ac:dyDescent="0.3">
      <c r="A17" t="s">
        <v>930</v>
      </c>
      <c r="E17" t="s">
        <v>723</v>
      </c>
    </row>
    <row r="18" spans="1:6" ht="19.95" customHeight="1" x14ac:dyDescent="0.3">
      <c r="A18" t="s">
        <v>932</v>
      </c>
      <c r="B18" s="11" t="s">
        <v>415</v>
      </c>
      <c r="D18" t="s">
        <v>600</v>
      </c>
    </row>
    <row r="19" spans="1:6" ht="19.95" customHeight="1" x14ac:dyDescent="0.3">
      <c r="A19" t="s">
        <v>931</v>
      </c>
      <c r="E19" t="s">
        <v>723</v>
      </c>
    </row>
    <row r="20" spans="1:6" ht="19.95" customHeight="1" x14ac:dyDescent="0.3">
      <c r="A20" t="s">
        <v>48</v>
      </c>
    </row>
    <row r="21" spans="1:6" ht="19.95" customHeight="1" x14ac:dyDescent="0.3">
      <c r="A21" t="s">
        <v>934</v>
      </c>
    </row>
    <row r="22" spans="1:6" ht="19.95" customHeight="1" x14ac:dyDescent="0.3">
      <c r="A22" t="s">
        <v>935</v>
      </c>
      <c r="B22" t="s">
        <v>28</v>
      </c>
      <c r="C22" t="s">
        <v>28</v>
      </c>
      <c r="E22" t="s">
        <v>662</v>
      </c>
    </row>
    <row r="23" spans="1:6" ht="19.95" customHeight="1" x14ac:dyDescent="0.3">
      <c r="A23" t="s">
        <v>936</v>
      </c>
    </row>
    <row r="24" spans="1:6" ht="19.95" customHeight="1" x14ac:dyDescent="0.3">
      <c r="A24" t="s">
        <v>937</v>
      </c>
      <c r="E24" t="s">
        <v>723</v>
      </c>
    </row>
    <row r="25" spans="1:6" ht="19.95" customHeight="1" x14ac:dyDescent="0.3">
      <c r="A25" t="s">
        <v>938</v>
      </c>
      <c r="E25" t="s">
        <v>723</v>
      </c>
      <c r="F25" s="11" t="s">
        <v>881</v>
      </c>
    </row>
    <row r="26" spans="1:6" ht="19.95" customHeight="1" x14ac:dyDescent="0.3">
      <c r="A26" t="s">
        <v>939</v>
      </c>
      <c r="D26">
        <v>14</v>
      </c>
      <c r="E26" t="s">
        <v>723</v>
      </c>
    </row>
    <row r="27" spans="1:6" ht="19.95" customHeight="1" x14ac:dyDescent="0.3">
      <c r="A27" t="s">
        <v>940</v>
      </c>
      <c r="B27" t="s">
        <v>28</v>
      </c>
      <c r="C27" t="s">
        <v>28</v>
      </c>
      <c r="D27">
        <v>45</v>
      </c>
    </row>
    <row r="28" spans="1:6" ht="19.95" customHeight="1" x14ac:dyDescent="0.3">
      <c r="A28" t="s">
        <v>945</v>
      </c>
      <c r="B28" t="s">
        <v>28</v>
      </c>
      <c r="C28" t="s">
        <v>28</v>
      </c>
    </row>
    <row r="29" spans="1:6" ht="19.95" customHeight="1" x14ac:dyDescent="0.3">
      <c r="A29" t="s">
        <v>946</v>
      </c>
      <c r="B29" t="s">
        <v>28</v>
      </c>
      <c r="C29" t="s">
        <v>28</v>
      </c>
      <c r="D29">
        <v>7</v>
      </c>
    </row>
    <row r="30" spans="1:6" ht="19.95" customHeight="1" x14ac:dyDescent="0.3">
      <c r="A30" t="s">
        <v>949</v>
      </c>
      <c r="B30" s="11" t="s">
        <v>251</v>
      </c>
      <c r="C30" s="11" t="s">
        <v>335</v>
      </c>
      <c r="D30" t="s">
        <v>600</v>
      </c>
    </row>
    <row r="31" spans="1:6" ht="19.95" customHeight="1" x14ac:dyDescent="0.3">
      <c r="A31" t="s">
        <v>950</v>
      </c>
    </row>
    <row r="32" spans="1:6" ht="19.95" customHeight="1" x14ac:dyDescent="0.3">
      <c r="A32" t="s">
        <v>951</v>
      </c>
    </row>
    <row r="33" spans="1:6" ht="19.95" customHeight="1" x14ac:dyDescent="0.3">
      <c r="A33" t="s">
        <v>952</v>
      </c>
      <c r="C33" s="14" t="s">
        <v>440</v>
      </c>
    </row>
    <row r="34" spans="1:6" ht="19.95" customHeight="1" x14ac:dyDescent="0.3">
      <c r="A34" t="s">
        <v>953</v>
      </c>
      <c r="B34" t="s">
        <v>28</v>
      </c>
      <c r="C34" t="s">
        <v>28</v>
      </c>
    </row>
    <row r="35" spans="1:6" ht="19.95" customHeight="1" x14ac:dyDescent="0.3">
      <c r="A35" t="s">
        <v>962</v>
      </c>
      <c r="B35" t="s">
        <v>28</v>
      </c>
      <c r="C35" t="s">
        <v>28</v>
      </c>
      <c r="D35" t="s">
        <v>28</v>
      </c>
    </row>
    <row r="36" spans="1:6" ht="19.95" customHeight="1" x14ac:dyDescent="0.3">
      <c r="A36" s="5" t="s">
        <v>954</v>
      </c>
      <c r="B36" s="5" t="s">
        <v>28</v>
      </c>
      <c r="C36" t="s">
        <v>28</v>
      </c>
      <c r="D36" t="s">
        <v>28</v>
      </c>
    </row>
    <row r="37" spans="1:6" ht="19.95" customHeight="1" x14ac:dyDescent="0.3">
      <c r="A37" t="s">
        <v>955</v>
      </c>
      <c r="B37" t="s">
        <v>28</v>
      </c>
      <c r="C37" t="s">
        <v>28</v>
      </c>
      <c r="D37">
        <v>7</v>
      </c>
    </row>
    <row r="38" spans="1:6" ht="19.95" customHeight="1" x14ac:dyDescent="0.3">
      <c r="A38" t="s">
        <v>956</v>
      </c>
      <c r="B38" t="s">
        <v>28</v>
      </c>
      <c r="C38" t="s">
        <v>28</v>
      </c>
      <c r="D38" t="s">
        <v>28</v>
      </c>
    </row>
    <row r="39" spans="1:6" ht="19.95" customHeight="1" x14ac:dyDescent="0.3">
      <c r="A39" t="s">
        <v>957</v>
      </c>
      <c r="B39" t="s">
        <v>28</v>
      </c>
      <c r="C39" t="s">
        <v>28</v>
      </c>
      <c r="D39">
        <v>7</v>
      </c>
    </row>
    <row r="40" spans="1:6" ht="19.95" customHeight="1" x14ac:dyDescent="0.3">
      <c r="A40" t="s">
        <v>652</v>
      </c>
      <c r="B40" t="s">
        <v>28</v>
      </c>
      <c r="C40" t="s">
        <v>28</v>
      </c>
      <c r="D40">
        <v>7</v>
      </c>
    </row>
    <row r="41" spans="1:6" ht="19.95" customHeight="1" x14ac:dyDescent="0.3">
      <c r="A41" t="s">
        <v>965</v>
      </c>
      <c r="B41" t="s">
        <v>28</v>
      </c>
      <c r="C41" t="s">
        <v>28</v>
      </c>
      <c r="D41">
        <v>7</v>
      </c>
      <c r="E41" t="s">
        <v>28</v>
      </c>
    </row>
    <row r="42" spans="1:6" ht="19.95" customHeight="1" x14ac:dyDescent="0.3">
      <c r="A42" t="s">
        <v>966</v>
      </c>
      <c r="B42" t="s">
        <v>28</v>
      </c>
      <c r="C42" t="s">
        <v>28</v>
      </c>
      <c r="D42" t="s">
        <v>28</v>
      </c>
      <c r="E42" t="s">
        <v>28</v>
      </c>
    </row>
    <row r="43" spans="1:6" ht="19.95" customHeight="1" x14ac:dyDescent="0.3">
      <c r="A43" t="s">
        <v>969</v>
      </c>
      <c r="B43" t="s">
        <v>28</v>
      </c>
      <c r="C43" t="s">
        <v>28</v>
      </c>
      <c r="D43" t="s">
        <v>28</v>
      </c>
      <c r="E43" t="s">
        <v>28</v>
      </c>
    </row>
    <row r="44" spans="1:6" ht="19.95" customHeight="1" x14ac:dyDescent="0.3">
      <c r="A44" t="s">
        <v>968</v>
      </c>
      <c r="B44" t="s">
        <v>28</v>
      </c>
      <c r="C44" t="s">
        <v>28</v>
      </c>
      <c r="D44" t="s">
        <v>28</v>
      </c>
      <c r="E44" t="s">
        <v>28</v>
      </c>
    </row>
    <row r="45" spans="1:6" ht="19.95" customHeight="1" x14ac:dyDescent="0.3">
      <c r="A45" t="s">
        <v>967</v>
      </c>
      <c r="B45" t="s">
        <v>28</v>
      </c>
      <c r="C45" t="s">
        <v>28</v>
      </c>
      <c r="D45" t="s">
        <v>28</v>
      </c>
      <c r="E45" t="s">
        <v>28</v>
      </c>
      <c r="F45" t="s">
        <v>28</v>
      </c>
    </row>
  </sheetData>
  <hyperlinks>
    <hyperlink ref="C33" r:id="rId1" xr:uid="{489926C2-AC45-4509-84DA-73D08AD13305}"/>
  </hyperlink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F1DB66-276F-47F0-A882-7728905D34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2</vt:i4>
      </vt:variant>
    </vt:vector>
  </HeadingPairs>
  <TitlesOfParts>
    <vt:vector size="9" baseType="lpstr">
      <vt:lpstr>Settings</vt:lpstr>
      <vt:lpstr>New Order</vt:lpstr>
      <vt:lpstr>MainTable</vt:lpstr>
      <vt:lpstr>Customs Clearance</vt:lpstr>
      <vt:lpstr>Stats</vt:lpstr>
      <vt:lpstr>Stats for Customer</vt:lpstr>
      <vt:lpstr>Customers</vt:lpstr>
      <vt:lpstr>Adreno</vt:lpstr>
      <vt:lpstr>list_of_customers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Bartlomiej Panfil</dc:creator>
  <cp:lastModifiedBy>Bartłomiej Panfil</cp:lastModifiedBy>
  <cp:lastPrinted>2024-03-19T13:09:06Z</cp:lastPrinted>
  <dcterms:created xsi:type="dcterms:W3CDTF">2023-06-25T16:08:30Z</dcterms:created>
  <dcterms:modified xsi:type="dcterms:W3CDTF">2024-04-25T04:33:21Z</dcterms:modified>
</cp:coreProperties>
</file>